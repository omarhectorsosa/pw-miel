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D01E0E00-4E07-4FB3-918B-F9CB4A39F13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J25" i="1"/>
  <c r="J2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<sst xmlns="http://schemas.openxmlformats.org/spreadsheetml/2006/main" count="32" uniqueCount="32">
  <si>
    <t>Fecha</t>
  </si>
  <si>
    <t>Producto</t>
  </si>
  <si>
    <t>Precio Unitario</t>
  </si>
  <si>
    <t>Cantidad Vendida</t>
  </si>
  <si>
    <t>Descuento (%)</t>
  </si>
  <si>
    <t>Total Ventas</t>
  </si>
  <si>
    <t>Total Descuento</t>
  </si>
  <si>
    <t>Ventas Netas</t>
  </si>
  <si>
    <t>Estado de Venta</t>
  </si>
  <si>
    <t>iPhone 15 Pro</t>
  </si>
  <si>
    <t>Samsung Galaxy S23 Ultra</t>
  </si>
  <si>
    <t>PlayStation 5</t>
  </si>
  <si>
    <t>Xbox Series X</t>
  </si>
  <si>
    <t>MacBook Air M2</t>
  </si>
  <si>
    <t>Dell XPS 13</t>
  </si>
  <si>
    <t>Apple Watch Series 9</t>
  </si>
  <si>
    <t>Samsung Galaxy Watch 6</t>
  </si>
  <si>
    <t>AirPods Pro 2</t>
  </si>
  <si>
    <t>Sony WH-1000XM5</t>
  </si>
  <si>
    <t>Nintendo Switch OLED</t>
  </si>
  <si>
    <t>Logitech MX Master 3S</t>
  </si>
  <si>
    <t>HP LaserJet Pro MFP M428fdw</t>
  </si>
  <si>
    <t>Canon EOS R6</t>
  </si>
  <si>
    <t>Kindle Paperwhite</t>
  </si>
  <si>
    <t>GoPro Hero 12 Black</t>
  </si>
  <si>
    <t>Bose SoundLink Revolve+ II</t>
  </si>
  <si>
    <t>Razer DeathAdder V3 Pro</t>
  </si>
  <si>
    <t>Google Pixel 8 Pro</t>
  </si>
  <si>
    <t>Lenovo ThinkPad X1 Carbon</t>
  </si>
  <si>
    <t>Producto Mas Vendido</t>
  </si>
  <si>
    <t>Promedio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</si>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</sst>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242424"/>
      <name val="Aptos Narrow"/>
      <charset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/>
    <xf numFmtId="14" fontId="3" fillId="0" borderId="1" xfId="0" applyNumberFormat="1" applyFont="1" applyFill="1" applyBorder="1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J27" sqref="J27"/>
    </sheetView>
  </sheetViews>
  <sheetFormatPr defaultRowHeight="15"/>
  <cols>
    <col min="1" max="1" width="10.85546875" bestFit="1" customWidth="1"/>
    <col min="2" max="2" width="26.42578125" bestFit="1" customWidth="1"/>
    <col min="3" max="3" width="15.140625" customWidth="1"/>
    <col min="4" max="4" width="16" customWidth="1"/>
    <col min="5" max="5" width="13.85546875" customWidth="1"/>
    <col min="6" max="6" width="13.140625" customWidth="1"/>
    <col min="7" max="7" width="14.5703125" customWidth="1"/>
    <col min="8" max="8" width="14.140625" customWidth="1"/>
    <col min="9" max="9" width="15.85546875" customWidth="1"/>
    <col min="10" max="10" width="36.5703125" bestFit="1" customWidth="1"/>
  </cols>
  <sheetData>
    <row r="1" spans="1:9" ht="29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7.25" customHeight="1">
      <c r="A2" s="4">
        <v>45689</v>
      </c>
      <c r="B2" s="3" t="s">
        <v>9</v>
      </c>
      <c r="C2" s="7">
        <v>999</v>
      </c>
      <c r="D2" s="7">
        <v>3</v>
      </c>
      <c r="E2" s="8">
        <v>7.0000000000000007E-2</v>
      </c>
      <c r="F2" s="9">
        <f>C2*D2</f>
        <v>2997</v>
      </c>
      <c r="G2" s="9">
        <f>F2*7%</f>
        <v>209.79000000000002</v>
      </c>
      <c r="H2" s="9">
        <f>F2-G2</f>
        <v>2787.21</v>
      </c>
      <c r="I2" s="10" t="str">
        <f>IF(AND(H2&gt;1000,D2&gt;15),"Completa","Incompleta")</f>
        <v>Incompleta</v>
      </c>
    </row>
    <row r="3" spans="1:9">
      <c r="A3" s="4">
        <v>45689</v>
      </c>
      <c r="B3" s="3" t="s">
        <v>10</v>
      </c>
      <c r="C3" s="7">
        <v>1199</v>
      </c>
      <c r="D3" s="7">
        <v>17</v>
      </c>
      <c r="E3" s="8">
        <v>7.0000000000000007E-2</v>
      </c>
      <c r="F3" s="9">
        <f t="shared" ref="F3:F21" si="0">C3*D3</f>
        <v>20383</v>
      </c>
      <c r="G3" s="9">
        <f t="shared" ref="G3:G21" si="1">F3*7%</f>
        <v>1426.8100000000002</v>
      </c>
      <c r="H3" s="9">
        <f t="shared" ref="H3:H21" si="2">F3-G3</f>
        <v>18956.189999999999</v>
      </c>
      <c r="I3" s="10" t="str">
        <f t="shared" ref="I3:I21" si="3">IF(AND(H3&gt;1000,D3&gt;15),"Completa","Incompleta")</f>
        <v>Completa</v>
      </c>
    </row>
    <row r="4" spans="1:9">
      <c r="A4" s="4">
        <v>45689</v>
      </c>
      <c r="B4" s="3" t="s">
        <v>11</v>
      </c>
      <c r="C4" s="7">
        <v>499</v>
      </c>
      <c r="D4" s="7">
        <v>5</v>
      </c>
      <c r="E4" s="8">
        <v>7.0000000000000007E-2</v>
      </c>
      <c r="F4" s="9">
        <f t="shared" si="0"/>
        <v>2495</v>
      </c>
      <c r="G4" s="9">
        <f t="shared" si="1"/>
        <v>174.65</v>
      </c>
      <c r="H4" s="9">
        <f t="shared" si="2"/>
        <v>2320.35</v>
      </c>
      <c r="I4" s="10" t="str">
        <f t="shared" si="3"/>
        <v>Incompleta</v>
      </c>
    </row>
    <row r="5" spans="1:9">
      <c r="A5" s="4">
        <v>45689</v>
      </c>
      <c r="B5" s="3" t="s">
        <v>12</v>
      </c>
      <c r="C5" s="7">
        <v>499</v>
      </c>
      <c r="D5" s="7">
        <v>4</v>
      </c>
      <c r="E5" s="8">
        <v>7.0000000000000007E-2</v>
      </c>
      <c r="F5" s="9">
        <f t="shared" si="0"/>
        <v>1996</v>
      </c>
      <c r="G5" s="9">
        <f t="shared" si="1"/>
        <v>139.72000000000003</v>
      </c>
      <c r="H5" s="9">
        <f t="shared" si="2"/>
        <v>1856.28</v>
      </c>
      <c r="I5" s="10" t="str">
        <f t="shared" si="3"/>
        <v>Incompleta</v>
      </c>
    </row>
    <row r="6" spans="1:9">
      <c r="A6" s="4">
        <v>45690</v>
      </c>
      <c r="B6" s="3" t="s">
        <v>13</v>
      </c>
      <c r="C6" s="7">
        <v>1099</v>
      </c>
      <c r="D6" s="7">
        <v>22</v>
      </c>
      <c r="E6" s="8">
        <v>7.0000000000000007E-2</v>
      </c>
      <c r="F6" s="9">
        <f t="shared" si="0"/>
        <v>24178</v>
      </c>
      <c r="G6" s="9">
        <f t="shared" si="1"/>
        <v>1692.4600000000003</v>
      </c>
      <c r="H6" s="9">
        <f t="shared" si="2"/>
        <v>22485.54</v>
      </c>
      <c r="I6" s="10" t="str">
        <f t="shared" si="3"/>
        <v>Completa</v>
      </c>
    </row>
    <row r="7" spans="1:9">
      <c r="A7" s="4">
        <v>45691</v>
      </c>
      <c r="B7" s="3" t="s">
        <v>14</v>
      </c>
      <c r="C7" s="7">
        <v>1299</v>
      </c>
      <c r="D7" s="7">
        <v>1</v>
      </c>
      <c r="E7" s="8">
        <v>7.0000000000000007E-2</v>
      </c>
      <c r="F7" s="9">
        <f t="shared" si="0"/>
        <v>1299</v>
      </c>
      <c r="G7" s="9">
        <f t="shared" si="1"/>
        <v>90.93</v>
      </c>
      <c r="H7" s="9">
        <f t="shared" si="2"/>
        <v>1208.07</v>
      </c>
      <c r="I7" s="10" t="str">
        <f t="shared" si="3"/>
        <v>Incompleta</v>
      </c>
    </row>
    <row r="8" spans="1:9">
      <c r="A8" s="4">
        <v>45692</v>
      </c>
      <c r="B8" s="3" t="s">
        <v>15</v>
      </c>
      <c r="C8" s="7">
        <v>399</v>
      </c>
      <c r="D8" s="7">
        <v>31</v>
      </c>
      <c r="E8" s="8">
        <v>7.0000000000000007E-2</v>
      </c>
      <c r="F8" s="9">
        <f t="shared" si="0"/>
        <v>12369</v>
      </c>
      <c r="G8" s="9">
        <f t="shared" si="1"/>
        <v>865.83</v>
      </c>
      <c r="H8" s="9">
        <f t="shared" si="2"/>
        <v>11503.17</v>
      </c>
      <c r="I8" s="10" t="str">
        <f t="shared" si="3"/>
        <v>Completa</v>
      </c>
    </row>
    <row r="9" spans="1:9">
      <c r="A9" s="4">
        <v>45692</v>
      </c>
      <c r="B9" s="3" t="s">
        <v>16</v>
      </c>
      <c r="C9" s="7">
        <v>349</v>
      </c>
      <c r="D9" s="7">
        <v>43</v>
      </c>
      <c r="E9" s="8">
        <v>7.0000000000000007E-2</v>
      </c>
      <c r="F9" s="9">
        <f t="shared" si="0"/>
        <v>15007</v>
      </c>
      <c r="G9" s="9">
        <f t="shared" si="1"/>
        <v>1050.49</v>
      </c>
      <c r="H9" s="9">
        <f t="shared" si="2"/>
        <v>13956.51</v>
      </c>
      <c r="I9" s="10" t="str">
        <f t="shared" si="3"/>
        <v>Completa</v>
      </c>
    </row>
    <row r="10" spans="1:9">
      <c r="A10" s="4">
        <v>45693</v>
      </c>
      <c r="B10" s="3" t="s">
        <v>17</v>
      </c>
      <c r="C10" s="7">
        <v>249</v>
      </c>
      <c r="D10" s="7">
        <v>8</v>
      </c>
      <c r="E10" s="8">
        <v>7.0000000000000007E-2</v>
      </c>
      <c r="F10" s="9">
        <f t="shared" si="0"/>
        <v>1992</v>
      </c>
      <c r="G10" s="9">
        <f t="shared" si="1"/>
        <v>139.44000000000003</v>
      </c>
      <c r="H10" s="9">
        <f t="shared" si="2"/>
        <v>1852.56</v>
      </c>
      <c r="I10" s="10" t="str">
        <f t="shared" si="3"/>
        <v>Incompleta</v>
      </c>
    </row>
    <row r="11" spans="1:9">
      <c r="A11" s="4">
        <v>45693</v>
      </c>
      <c r="B11" s="3" t="s">
        <v>18</v>
      </c>
      <c r="C11" s="7">
        <v>399</v>
      </c>
      <c r="D11" s="7">
        <v>15</v>
      </c>
      <c r="E11" s="8">
        <v>7.0000000000000007E-2</v>
      </c>
      <c r="F11" s="9">
        <f t="shared" si="0"/>
        <v>5985</v>
      </c>
      <c r="G11" s="9">
        <f t="shared" si="1"/>
        <v>418.95000000000005</v>
      </c>
      <c r="H11" s="9">
        <f t="shared" si="2"/>
        <v>5566.05</v>
      </c>
      <c r="I11" s="10" t="str">
        <f t="shared" si="3"/>
        <v>Incompleta</v>
      </c>
    </row>
    <row r="12" spans="1:9">
      <c r="A12" s="4">
        <v>45694</v>
      </c>
      <c r="B12" s="3" t="s">
        <v>19</v>
      </c>
      <c r="C12" s="7">
        <v>349</v>
      </c>
      <c r="D12" s="7">
        <v>20</v>
      </c>
      <c r="E12" s="8">
        <v>7.0000000000000007E-2</v>
      </c>
      <c r="F12" s="9">
        <f t="shared" si="0"/>
        <v>6980</v>
      </c>
      <c r="G12" s="9">
        <f t="shared" si="1"/>
        <v>488.6</v>
      </c>
      <c r="H12" s="9">
        <f t="shared" si="2"/>
        <v>6491.4</v>
      </c>
      <c r="I12" s="10" t="str">
        <f t="shared" si="3"/>
        <v>Completa</v>
      </c>
    </row>
    <row r="13" spans="1:9">
      <c r="A13" s="4">
        <v>45694</v>
      </c>
      <c r="B13" s="3" t="s">
        <v>20</v>
      </c>
      <c r="C13" s="7">
        <v>99</v>
      </c>
      <c r="D13" s="7">
        <v>33</v>
      </c>
      <c r="E13" s="8">
        <v>7.0000000000000007E-2</v>
      </c>
      <c r="F13" s="9">
        <f t="shared" si="0"/>
        <v>3267</v>
      </c>
      <c r="G13" s="9">
        <f t="shared" si="1"/>
        <v>228.69000000000003</v>
      </c>
      <c r="H13" s="9">
        <f t="shared" si="2"/>
        <v>3038.31</v>
      </c>
      <c r="I13" s="10" t="str">
        <f t="shared" si="3"/>
        <v>Completa</v>
      </c>
    </row>
    <row r="14" spans="1:9">
      <c r="A14" s="4">
        <v>45695</v>
      </c>
      <c r="B14" s="3" t="s">
        <v>21</v>
      </c>
      <c r="C14" s="7">
        <v>449</v>
      </c>
      <c r="D14" s="7">
        <v>2</v>
      </c>
      <c r="E14" s="8">
        <v>7.0000000000000007E-2</v>
      </c>
      <c r="F14" s="9">
        <f t="shared" si="0"/>
        <v>898</v>
      </c>
      <c r="G14" s="9">
        <f t="shared" si="1"/>
        <v>62.860000000000007</v>
      </c>
      <c r="H14" s="9">
        <f t="shared" si="2"/>
        <v>835.14</v>
      </c>
      <c r="I14" s="10" t="str">
        <f t="shared" si="3"/>
        <v>Incompleta</v>
      </c>
    </row>
    <row r="15" spans="1:9">
      <c r="A15" s="4">
        <v>45695</v>
      </c>
      <c r="B15" s="3" t="s">
        <v>22</v>
      </c>
      <c r="C15" s="7">
        <v>2499</v>
      </c>
      <c r="D15" s="7">
        <v>5</v>
      </c>
      <c r="E15" s="8">
        <v>7.0000000000000007E-2</v>
      </c>
      <c r="F15" s="9">
        <f t="shared" si="0"/>
        <v>12495</v>
      </c>
      <c r="G15" s="9">
        <f t="shared" si="1"/>
        <v>874.65000000000009</v>
      </c>
      <c r="H15" s="9">
        <f t="shared" si="2"/>
        <v>11620.35</v>
      </c>
      <c r="I15" s="10" t="str">
        <f t="shared" si="3"/>
        <v>Incompleta</v>
      </c>
    </row>
    <row r="16" spans="1:9">
      <c r="A16" s="4">
        <v>45696</v>
      </c>
      <c r="B16" s="3" t="s">
        <v>23</v>
      </c>
      <c r="C16" s="7">
        <v>149</v>
      </c>
      <c r="D16" s="7">
        <v>16</v>
      </c>
      <c r="E16" s="8">
        <v>7.0000000000000007E-2</v>
      </c>
      <c r="F16" s="9">
        <f t="shared" si="0"/>
        <v>2384</v>
      </c>
      <c r="G16" s="9">
        <f t="shared" si="1"/>
        <v>166.88000000000002</v>
      </c>
      <c r="H16" s="9">
        <f t="shared" si="2"/>
        <v>2217.12</v>
      </c>
      <c r="I16" s="10" t="str">
        <f t="shared" si="3"/>
        <v>Completa</v>
      </c>
    </row>
    <row r="17" spans="1:10">
      <c r="A17" s="4">
        <v>45696</v>
      </c>
      <c r="B17" s="3" t="s">
        <v>24</v>
      </c>
      <c r="C17" s="7">
        <v>399</v>
      </c>
      <c r="D17" s="7">
        <v>3</v>
      </c>
      <c r="E17" s="8">
        <v>7.0000000000000007E-2</v>
      </c>
      <c r="F17" s="9">
        <f t="shared" si="0"/>
        <v>1197</v>
      </c>
      <c r="G17" s="9">
        <f t="shared" si="1"/>
        <v>83.79</v>
      </c>
      <c r="H17" s="9">
        <f t="shared" si="2"/>
        <v>1113.21</v>
      </c>
      <c r="I17" s="10" t="str">
        <f t="shared" si="3"/>
        <v>Incompleta</v>
      </c>
    </row>
    <row r="18" spans="1:10">
      <c r="A18" s="4">
        <v>45697</v>
      </c>
      <c r="B18" s="3" t="s">
        <v>25</v>
      </c>
      <c r="C18" s="7">
        <v>299</v>
      </c>
      <c r="D18" s="7">
        <v>4</v>
      </c>
      <c r="E18" s="8">
        <v>7.0000000000000007E-2</v>
      </c>
      <c r="F18" s="9">
        <f t="shared" si="0"/>
        <v>1196</v>
      </c>
      <c r="G18" s="9">
        <f t="shared" si="1"/>
        <v>83.720000000000013</v>
      </c>
      <c r="H18" s="9">
        <f t="shared" si="2"/>
        <v>1112.28</v>
      </c>
      <c r="I18" s="10" t="str">
        <f t="shared" si="3"/>
        <v>Incompleta</v>
      </c>
    </row>
    <row r="19" spans="1:10">
      <c r="A19" s="4">
        <v>45697</v>
      </c>
      <c r="B19" s="3" t="s">
        <v>26</v>
      </c>
      <c r="C19" s="7">
        <v>149</v>
      </c>
      <c r="D19" s="7">
        <v>5</v>
      </c>
      <c r="E19" s="8">
        <v>7.0000000000000007E-2</v>
      </c>
      <c r="F19" s="9">
        <f t="shared" si="0"/>
        <v>745</v>
      </c>
      <c r="G19" s="9">
        <f t="shared" si="1"/>
        <v>52.150000000000006</v>
      </c>
      <c r="H19" s="9">
        <f t="shared" si="2"/>
        <v>692.85</v>
      </c>
      <c r="I19" s="10" t="str">
        <f t="shared" si="3"/>
        <v>Incompleta</v>
      </c>
    </row>
    <row r="20" spans="1:10">
      <c r="A20" s="4">
        <v>45698</v>
      </c>
      <c r="B20" s="3" t="s">
        <v>27</v>
      </c>
      <c r="C20" s="7">
        <v>999</v>
      </c>
      <c r="D20" s="7">
        <v>20</v>
      </c>
      <c r="E20" s="8">
        <v>7.0000000000000007E-2</v>
      </c>
      <c r="F20" s="9">
        <f t="shared" si="0"/>
        <v>19980</v>
      </c>
      <c r="G20" s="9">
        <f t="shared" si="1"/>
        <v>1398.6000000000001</v>
      </c>
      <c r="H20" s="9">
        <f t="shared" si="2"/>
        <v>18581.400000000001</v>
      </c>
      <c r="I20" s="10" t="str">
        <f t="shared" si="3"/>
        <v>Completa</v>
      </c>
    </row>
    <row r="21" spans="1:10">
      <c r="A21" s="4">
        <v>45698</v>
      </c>
      <c r="B21" s="3" t="s">
        <v>28</v>
      </c>
      <c r="C21" s="7">
        <v>1499</v>
      </c>
      <c r="D21" s="7">
        <v>18</v>
      </c>
      <c r="E21" s="8">
        <v>7.0000000000000007E-2</v>
      </c>
      <c r="F21" s="9">
        <f t="shared" si="0"/>
        <v>26982</v>
      </c>
      <c r="G21" s="9">
        <f t="shared" si="1"/>
        <v>1888.7400000000002</v>
      </c>
      <c r="H21" s="9">
        <f t="shared" si="2"/>
        <v>25093.26</v>
      </c>
      <c r="I21" s="10" t="str">
        <f t="shared" si="3"/>
        <v>Completa</v>
      </c>
    </row>
    <row r="24" spans="1:10" ht="29.25">
      <c r="I24" s="1" t="s">
        <v>29</v>
      </c>
      <c r="J24" s="5" t="str">
        <f>INDEX(B2:B21,MATCH(MAX(D2:D21),D2:D21,0))</f>
        <v>Samsung Galaxy Watch 6</v>
      </c>
    </row>
    <row r="25" spans="1:10">
      <c r="I25" s="1" t="s">
        <v>30</v>
      </c>
      <c r="J25" s="6">
        <f>AVERAGE(H2:H21)</f>
        <v>7664.3625000000002</v>
      </c>
    </row>
    <row r="26" spans="1:10" ht="29.25">
      <c r="I26" s="1" t="s">
        <v>31</v>
      </c>
      <c r="J26" s="6">
        <f>SUMIF(A2:A21,A2,H2:H21)</f>
        <v>25920.029999999995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2026-02-04T22:05:55Z</dcterms:created>
  <dcterms:modified xsi:type="dcterms:W3CDTF">2026-02-04T22:57:48Z</dcterms:modified>
  <cp:category/>
  <cp:contentStatus/>
</cp:coreProperties>
</file>