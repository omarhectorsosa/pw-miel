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0" documentId="8_{0694E303-27F6-49C8-8011-5C6D6F64F85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2" i="1"/>
  <c r="B13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<sst xmlns="http://schemas.openxmlformats.org/spreadsheetml/2006/main" count="31" uniqueCount="31">
  <si>
    <t>Fecha</t>
  </si>
  <si>
    <t>Producto</t>
  </si>
  <si>
    <t>Precio unitario</t>
  </si>
  <si>
    <t>Cantidad vendida</t>
  </si>
  <si>
    <t>Total ventas</t>
  </si>
  <si>
    <t>Total descuento</t>
  </si>
  <si>
    <t>Ventas netas</t>
  </si>
  <si>
    <t>Estado de ventas</t>
  </si>
  <si>
    <t>Coca-Cola 2.25L</t>
  </si>
  <si>
    <t>$2.800</t>
  </si>
  <si>
    <t>Pan Lactal Bimbo</t>
  </si>
  <si>
    <t>$3.200</t>
  </si>
  <si>
    <t>Leche La Serenísima 1L</t>
  </si>
  <si>
    <t>$1.500</t>
  </si>
  <si>
    <t>Arroz Gallo Oro 1Kg</t>
  </si>
  <si>
    <t>$1.900</t>
  </si>
  <si>
    <t>Fideos Matarazzo 500g</t>
  </si>
  <si>
    <t>$1.100</t>
  </si>
  <si>
    <t>Aceite Natura 900ml</t>
  </si>
  <si>
    <t>$3.600</t>
  </si>
  <si>
    <t>Yerba Mate Playadito 1Kg</t>
  </si>
  <si>
    <t>$4.500</t>
  </si>
  <si>
    <t>Shampoo Sedal 650ml</t>
  </si>
  <si>
    <t>$3.000</t>
  </si>
  <si>
    <t>Papel Higiénico Elite x4</t>
  </si>
  <si>
    <t>$2.400</t>
  </si>
  <si>
    <t>Galletitas Oreo 117g</t>
  </si>
  <si>
    <t>$1.300</t>
  </si>
  <si>
    <t>Procucto mas vendido</t>
  </si>
  <si>
    <t>Promedio de ventas</t>
  </si>
  <si>
    <t>Ventas por 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</si>
</sst>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C0A]\ * #,##0.00_-;\-[$$-2C0A]\ * #,##0.00_-;_-[$$-2C0A]\ * &quot;-&quot;??_-;_-@_-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9" fontId="0" fillId="0" borderId="0" xfId="0" applyNumberFormat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workbookViewId="0">
      <selection activeCell="F19" sqref="F19"/>
    </sheetView>
  </sheetViews>
  <sheetFormatPr defaultRowHeight="15"/>
  <cols>
    <col min="1" max="1" width="20.140625" style="8" bestFit="1" customWidth="1"/>
    <col min="2" max="2" width="23.28515625" style="8" bestFit="1" customWidth="1"/>
    <col min="3" max="3" width="14" style="8" bestFit="1" customWidth="1"/>
    <col min="4" max="4" width="16.42578125" style="8" bestFit="1" customWidth="1"/>
    <col min="5" max="5" width="12.140625" style="9" bestFit="1" customWidth="1"/>
    <col min="6" max="6" width="14.85546875" style="8" bestFit="1" customWidth="1"/>
    <col min="7" max="7" width="12.140625" style="8" bestFit="1" customWidth="1"/>
    <col min="8" max="8" width="15.7109375" style="8" bestFit="1" customWidth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</row>
    <row r="2" spans="1:13">
      <c r="A2" s="6">
        <v>46055</v>
      </c>
      <c r="B2" s="2" t="s">
        <v>8</v>
      </c>
      <c r="C2" s="2" t="s">
        <v>9</v>
      </c>
      <c r="D2" s="2">
        <v>15</v>
      </c>
      <c r="E2" s="7">
        <v>42000</v>
      </c>
      <c r="F2" s="2">
        <f>E2-(E2*$M$9)</f>
        <v>39060</v>
      </c>
      <c r="G2" s="7">
        <f>E2-F2</f>
        <v>2940</v>
      </c>
      <c r="H2" s="2" t="str">
        <f>IF(AND(G2&gt;1000,D2&gt;15),"Completa","")</f>
        <v/>
      </c>
    </row>
    <row r="3" spans="1:13">
      <c r="A3" s="6">
        <v>46055</v>
      </c>
      <c r="B3" s="2" t="s">
        <v>10</v>
      </c>
      <c r="C3" s="2" t="s">
        <v>11</v>
      </c>
      <c r="D3" s="2">
        <v>8</v>
      </c>
      <c r="E3" s="7">
        <v>25600</v>
      </c>
      <c r="F3" s="2">
        <f t="shared" ref="F3:F11" si="0">E3-(E3*$M$9)</f>
        <v>23808</v>
      </c>
      <c r="G3" s="7">
        <f t="shared" ref="G3:G11" si="1">E3-F3</f>
        <v>1792</v>
      </c>
      <c r="H3" s="2" t="str">
        <f t="shared" ref="H3:H11" si="2">IF(AND(G3&gt;1000,D3&gt;15),"Completa","")</f>
        <v/>
      </c>
    </row>
    <row r="4" spans="1:13">
      <c r="A4" s="6">
        <v>46056</v>
      </c>
      <c r="B4" s="2" t="s">
        <v>12</v>
      </c>
      <c r="C4" s="2" t="s">
        <v>13</v>
      </c>
      <c r="D4" s="2">
        <v>20</v>
      </c>
      <c r="E4" s="7">
        <v>30000</v>
      </c>
      <c r="F4" s="2">
        <f t="shared" si="0"/>
        <v>27900</v>
      </c>
      <c r="G4" s="7">
        <f t="shared" si="1"/>
        <v>2100</v>
      </c>
      <c r="H4" s="2" t="str">
        <f t="shared" si="2"/>
        <v>Completa</v>
      </c>
    </row>
    <row r="5" spans="1:13">
      <c r="A5" s="6">
        <v>46056</v>
      </c>
      <c r="B5" s="2" t="s">
        <v>14</v>
      </c>
      <c r="C5" s="2" t="s">
        <v>15</v>
      </c>
      <c r="D5" s="2">
        <v>12</v>
      </c>
      <c r="E5" s="7">
        <v>22800</v>
      </c>
      <c r="F5" s="2">
        <f t="shared" si="0"/>
        <v>21204</v>
      </c>
      <c r="G5" s="7">
        <f t="shared" si="1"/>
        <v>1596</v>
      </c>
      <c r="H5" s="2" t="str">
        <f t="shared" si="2"/>
        <v/>
      </c>
    </row>
    <row r="6" spans="1:13">
      <c r="A6" s="6">
        <v>46057</v>
      </c>
      <c r="B6" s="2" t="s">
        <v>16</v>
      </c>
      <c r="C6" s="2" t="s">
        <v>17</v>
      </c>
      <c r="D6" s="2">
        <v>25</v>
      </c>
      <c r="E6" s="7">
        <v>27500</v>
      </c>
      <c r="F6" s="2">
        <f t="shared" si="0"/>
        <v>25575</v>
      </c>
      <c r="G6" s="7">
        <f t="shared" si="1"/>
        <v>1925</v>
      </c>
      <c r="H6" s="2" t="str">
        <f t="shared" si="2"/>
        <v>Completa</v>
      </c>
    </row>
    <row r="7" spans="1:13">
      <c r="A7" s="6">
        <v>46057</v>
      </c>
      <c r="B7" s="2" t="s">
        <v>18</v>
      </c>
      <c r="C7" s="2" t="s">
        <v>19</v>
      </c>
      <c r="D7" s="2">
        <v>10</v>
      </c>
      <c r="E7" s="7">
        <v>36000</v>
      </c>
      <c r="F7" s="2">
        <f t="shared" si="0"/>
        <v>33480</v>
      </c>
      <c r="G7" s="7">
        <f t="shared" si="1"/>
        <v>2520</v>
      </c>
      <c r="H7" s="2" t="str">
        <f t="shared" si="2"/>
        <v/>
      </c>
    </row>
    <row r="8" spans="1:13">
      <c r="A8" s="6">
        <v>46058</v>
      </c>
      <c r="B8" s="2" t="s">
        <v>20</v>
      </c>
      <c r="C8" s="2" t="s">
        <v>21</v>
      </c>
      <c r="D8" s="2">
        <v>7</v>
      </c>
      <c r="E8" s="7">
        <v>31500</v>
      </c>
      <c r="F8" s="2">
        <f t="shared" si="0"/>
        <v>29295</v>
      </c>
      <c r="G8" s="7">
        <f t="shared" si="1"/>
        <v>2205</v>
      </c>
      <c r="H8" s="2" t="str">
        <f t="shared" si="2"/>
        <v/>
      </c>
    </row>
    <row r="9" spans="1:13">
      <c r="A9" s="6">
        <v>46058</v>
      </c>
      <c r="B9" s="2" t="s">
        <v>22</v>
      </c>
      <c r="C9" s="2" t="s">
        <v>23</v>
      </c>
      <c r="D9" s="2">
        <v>9</v>
      </c>
      <c r="E9" s="7">
        <v>27000</v>
      </c>
      <c r="F9" s="2">
        <f t="shared" si="0"/>
        <v>25110</v>
      </c>
      <c r="G9" s="7">
        <f t="shared" si="1"/>
        <v>1890</v>
      </c>
      <c r="H9" s="2" t="str">
        <f t="shared" si="2"/>
        <v/>
      </c>
      <c r="M9" s="1">
        <v>7.0000000000000007E-2</v>
      </c>
    </row>
    <row r="10" spans="1:13">
      <c r="A10" s="6">
        <v>46059</v>
      </c>
      <c r="B10" s="2" t="s">
        <v>24</v>
      </c>
      <c r="C10" s="2" t="s">
        <v>25</v>
      </c>
      <c r="D10" s="2">
        <v>18</v>
      </c>
      <c r="E10" s="7">
        <v>43200</v>
      </c>
      <c r="F10" s="2">
        <f t="shared" si="0"/>
        <v>40176</v>
      </c>
      <c r="G10" s="7">
        <f t="shared" si="1"/>
        <v>3024</v>
      </c>
      <c r="H10" s="2" t="str">
        <f t="shared" si="2"/>
        <v>Completa</v>
      </c>
    </row>
    <row r="11" spans="1:13">
      <c r="A11" s="10">
        <v>46059</v>
      </c>
      <c r="B11" s="11" t="s">
        <v>26</v>
      </c>
      <c r="C11" s="2" t="s">
        <v>27</v>
      </c>
      <c r="D11" s="2">
        <v>14</v>
      </c>
      <c r="E11" s="7">
        <v>18200</v>
      </c>
      <c r="F11" s="2">
        <f t="shared" si="0"/>
        <v>16926</v>
      </c>
      <c r="G11" s="7">
        <f t="shared" si="1"/>
        <v>1274</v>
      </c>
      <c r="H11" s="2" t="str">
        <f t="shared" si="2"/>
        <v/>
      </c>
    </row>
    <row r="12" spans="1:13">
      <c r="A12" s="12" t="s">
        <v>28</v>
      </c>
      <c r="B12" s="13">
        <f>MAX(D2:D11)</f>
        <v>25</v>
      </c>
    </row>
    <row r="13" spans="1:13">
      <c r="A13" s="12" t="s">
        <v>29</v>
      </c>
      <c r="B13" s="14">
        <f>AVERAGE(E2:E11)</f>
        <v>30380</v>
      </c>
    </row>
    <row r="14" spans="1:13">
      <c r="A14" s="12" t="s">
        <v>30</v>
      </c>
      <c r="B14" s="13">
        <f>SUMIF(A2:A11,A2,G2:G11)</f>
        <v>4732</v>
      </c>
    </row>
    <row r="20" spans="3:3">
      <c r="C20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2026-02-06T17:43:58Z</dcterms:created>
  <dcterms:modified xsi:type="dcterms:W3CDTF">2026-02-06T18:23:50Z</dcterms:modified>
  <cp:category/>
  <cp:contentStatus/>
</cp:coreProperties>
</file>