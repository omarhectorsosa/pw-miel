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BFF877F2-9A04-4C52-87D3-8893654C57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B14" i="1"/>
  <c r="B13" i="1"/>
  <c r="B12" i="1"/>
  <c r="G3" i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G2" i="1"/>
  <c r="F2" i="1"/>
  <c r="E2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<sst xmlns="http://schemas.openxmlformats.org/spreadsheetml/2006/main" count="21" uniqueCount="21">
  <si>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</si>
  <si>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</si>
  <si>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</si>
  <si>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Cantidad vendida</t>
  </si>
  <si>
    <t>Total ventas</t>
  </si>
  <si>
    <t xml:space="preserve">Total descuento </t>
  </si>
  <si>
    <t>ventas Netas</t>
  </si>
  <si>
    <t>Estado de venta</t>
  </si>
  <si>
    <t>Cuaderno A4</t>
  </si>
  <si>
    <t>Lapicera azul</t>
  </si>
  <si>
    <t>Mochila escolar</t>
  </si>
  <si>
    <t>Regla 30 cm</t>
  </si>
  <si>
    <t>Carpeta anillada</t>
  </si>
  <si>
    <t>Resaltador</t>
  </si>
  <si>
    <t>Hoja A4 (resma)</t>
  </si>
  <si>
    <t>Lápiz negro</t>
  </si>
  <si>
    <t>Corrector líquido</t>
  </si>
  <si>
    <t>Cartuchera</t>
  </si>
  <si>
    <t>Producto mas vendido</t>
  </si>
  <si>
    <t>Promedio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</si>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</sst>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9" fontId="0" fillId="0" borderId="0" xfId="0" applyNumberFormat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A14" sqref="A14"/>
    </sheetView>
  </sheetViews>
  <sheetFormatPr defaultRowHeight="15"/>
  <cols>
    <col min="1" max="1" width="20.42578125" bestFit="1" customWidth="1"/>
    <col min="2" max="2" width="15.5703125" bestFit="1" customWidth="1"/>
    <col min="3" max="3" width="14" bestFit="1" customWidth="1"/>
    <col min="4" max="4" width="16.42578125" bestFit="1" customWidth="1"/>
    <col min="5" max="5" width="11.5703125" bestFit="1" customWidth="1"/>
    <col min="6" max="6" width="15.28515625" bestFit="1" customWidth="1"/>
    <col min="7" max="7" width="12.140625" bestFit="1" customWidth="1"/>
    <col min="8" max="8" width="36.5703125" bestFit="1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13" ht="45.75">
      <c r="A2" s="3">
        <v>46027</v>
      </c>
      <c r="B2" s="4" t="s">
        <v>8</v>
      </c>
      <c r="C2" s="5">
        <v>2500</v>
      </c>
      <c r="D2" s="4">
        <v>12</v>
      </c>
      <c r="E2" s="5">
        <f>C2*D2</f>
        <v>30000</v>
      </c>
      <c r="F2" s="5">
        <f>E2*$M$9</f>
        <v>2700</v>
      </c>
      <c r="G2" s="4">
        <f>E2-F2</f>
        <v>27300</v>
      </c>
      <c r="H2" s="8" t="str">
        <f>IF(AND(G2&gt;1000,D2&gt;15),"Completada","No completada")</f>
        <v>No completada</v>
      </c>
    </row>
    <row r="3" spans="1:13">
      <c r="A3" s="3">
        <v>46029</v>
      </c>
      <c r="B3" s="4" t="s">
        <v>9</v>
      </c>
      <c r="C3" s="5">
        <v>450</v>
      </c>
      <c r="D3" s="4">
        <v>30</v>
      </c>
      <c r="E3" s="5">
        <f t="shared" ref="E3:E11" si="0">C3*D3</f>
        <v>13500</v>
      </c>
      <c r="F3" s="5">
        <f t="shared" ref="F3:F11" si="1">E3*$M$9</f>
        <v>1215</v>
      </c>
      <c r="G3" s="4">
        <f t="shared" ref="G3:G11" si="2">E3-F3</f>
        <v>12285</v>
      </c>
      <c r="H3" s="8" t="str">
        <f t="shared" ref="H3:H11" si="3">IF(AND(G3&gt;1000,D3&gt;15),"Completada","No completada")</f>
        <v>Completada</v>
      </c>
    </row>
    <row r="4" spans="1:13">
      <c r="A4" s="3">
        <v>46032</v>
      </c>
      <c r="B4" s="4" t="s">
        <v>10</v>
      </c>
      <c r="C4" s="5">
        <v>18500</v>
      </c>
      <c r="D4" s="4">
        <v>4</v>
      </c>
      <c r="E4" s="5">
        <f t="shared" si="0"/>
        <v>74000</v>
      </c>
      <c r="F4" s="5">
        <f t="shared" si="1"/>
        <v>6660</v>
      </c>
      <c r="G4" s="4">
        <f t="shared" si="2"/>
        <v>67340</v>
      </c>
      <c r="H4" s="8" t="str">
        <f t="shared" si="3"/>
        <v>No completada</v>
      </c>
    </row>
    <row r="5" spans="1:13">
      <c r="A5" s="3">
        <v>46034</v>
      </c>
      <c r="B5" s="4" t="s">
        <v>11</v>
      </c>
      <c r="C5" s="5">
        <v>800</v>
      </c>
      <c r="D5" s="4">
        <v>15</v>
      </c>
      <c r="E5" s="5">
        <f t="shared" si="0"/>
        <v>12000</v>
      </c>
      <c r="F5" s="5">
        <f t="shared" si="1"/>
        <v>1080</v>
      </c>
      <c r="G5" s="4">
        <f t="shared" si="2"/>
        <v>10920</v>
      </c>
      <c r="H5" s="8" t="str">
        <f t="shared" si="3"/>
        <v>No completada</v>
      </c>
    </row>
    <row r="6" spans="1:13">
      <c r="A6" s="3">
        <v>46037</v>
      </c>
      <c r="B6" s="4" t="s">
        <v>12</v>
      </c>
      <c r="C6" s="5">
        <v>4200</v>
      </c>
      <c r="D6" s="4">
        <v>8</v>
      </c>
      <c r="E6" s="5">
        <f t="shared" si="0"/>
        <v>33600</v>
      </c>
      <c r="F6" s="5">
        <f t="shared" si="1"/>
        <v>3024</v>
      </c>
      <c r="G6" s="4">
        <f t="shared" si="2"/>
        <v>30576</v>
      </c>
      <c r="H6" s="8" t="str">
        <f t="shared" si="3"/>
        <v>No completada</v>
      </c>
    </row>
    <row r="7" spans="1:13">
      <c r="A7" s="3">
        <v>46040</v>
      </c>
      <c r="B7" s="4" t="s">
        <v>13</v>
      </c>
      <c r="C7" s="5">
        <v>950</v>
      </c>
      <c r="D7" s="4">
        <v>20</v>
      </c>
      <c r="E7" s="5">
        <f t="shared" si="0"/>
        <v>19000</v>
      </c>
      <c r="F7" s="5">
        <f t="shared" si="1"/>
        <v>1710</v>
      </c>
      <c r="G7" s="4">
        <f t="shared" si="2"/>
        <v>17290</v>
      </c>
      <c r="H7" s="8" t="str">
        <f t="shared" si="3"/>
        <v>Completada</v>
      </c>
    </row>
    <row r="8" spans="1:13">
      <c r="A8" s="3">
        <v>46042</v>
      </c>
      <c r="B8" s="4" t="s">
        <v>14</v>
      </c>
      <c r="C8" s="5">
        <v>7200</v>
      </c>
      <c r="D8" s="4">
        <v>6</v>
      </c>
      <c r="E8" s="5">
        <f t="shared" si="0"/>
        <v>43200</v>
      </c>
      <c r="F8" s="5">
        <f t="shared" si="1"/>
        <v>3888</v>
      </c>
      <c r="G8" s="4">
        <f t="shared" si="2"/>
        <v>39312</v>
      </c>
      <c r="H8" s="8" t="str">
        <f t="shared" si="3"/>
        <v>No completada</v>
      </c>
    </row>
    <row r="9" spans="1:13">
      <c r="A9" s="3">
        <v>46044</v>
      </c>
      <c r="B9" s="4" t="s">
        <v>15</v>
      </c>
      <c r="C9" s="5">
        <v>300</v>
      </c>
      <c r="D9" s="4">
        <v>40</v>
      </c>
      <c r="E9" s="5">
        <f t="shared" si="0"/>
        <v>12000</v>
      </c>
      <c r="F9" s="5">
        <f t="shared" si="1"/>
        <v>1080</v>
      </c>
      <c r="G9" s="4">
        <f t="shared" si="2"/>
        <v>10920</v>
      </c>
      <c r="H9" s="8" t="str">
        <f t="shared" si="3"/>
        <v>Completada</v>
      </c>
      <c r="M9" s="2">
        <v>0.09</v>
      </c>
    </row>
    <row r="10" spans="1:13">
      <c r="A10" s="3">
        <v>46047</v>
      </c>
      <c r="B10" s="4" t="s">
        <v>16</v>
      </c>
      <c r="C10" s="5">
        <v>1100</v>
      </c>
      <c r="D10" s="4">
        <v>10</v>
      </c>
      <c r="E10" s="5">
        <f t="shared" si="0"/>
        <v>11000</v>
      </c>
      <c r="F10" s="5">
        <f t="shared" si="1"/>
        <v>990</v>
      </c>
      <c r="G10" s="4">
        <f t="shared" si="2"/>
        <v>10010</v>
      </c>
      <c r="H10" s="8" t="str">
        <f t="shared" si="3"/>
        <v>No completada</v>
      </c>
    </row>
    <row r="11" spans="1:13">
      <c r="A11" s="3">
        <v>46050</v>
      </c>
      <c r="B11" s="4" t="s">
        <v>17</v>
      </c>
      <c r="C11" s="5">
        <v>5600</v>
      </c>
      <c r="D11" s="4">
        <v>5</v>
      </c>
      <c r="E11" s="5">
        <f t="shared" si="0"/>
        <v>28000</v>
      </c>
      <c r="F11" s="5">
        <f t="shared" si="1"/>
        <v>2520</v>
      </c>
      <c r="G11" s="4">
        <f t="shared" si="2"/>
        <v>25480</v>
      </c>
      <c r="H11" s="8" t="str">
        <f t="shared" si="3"/>
        <v>No completada</v>
      </c>
    </row>
    <row r="12" spans="1:13">
      <c r="A12" s="1" t="s">
        <v>18</v>
      </c>
      <c r="B12">
        <f>MAX(D2:D11)</f>
        <v>40</v>
      </c>
    </row>
    <row r="13" spans="1:13">
      <c r="A13" s="1" t="s">
        <v>19</v>
      </c>
      <c r="B13">
        <f>AVERAGE(G2:G11)</f>
        <v>25143.3</v>
      </c>
    </row>
    <row r="14" spans="1:13">
      <c r="A14" s="1" t="s">
        <v>20</v>
      </c>
      <c r="B14">
        <f>SUMIF(A2:A11,A2,G2:G11)</f>
        <v>27300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2026-02-06T22:28:13Z</dcterms:created>
  <dcterms:modified xsi:type="dcterms:W3CDTF">2026-02-06T23:54:39Z</dcterms:modified>
  <cp:category/>
  <cp:contentStatus/>
</cp:coreProperties>
</file>