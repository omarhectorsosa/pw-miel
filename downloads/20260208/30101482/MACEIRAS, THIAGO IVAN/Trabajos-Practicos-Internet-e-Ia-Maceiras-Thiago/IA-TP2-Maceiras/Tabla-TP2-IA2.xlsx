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2770D4DD-7F0F-4990-995D-D1DD2D1241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<sst xmlns="http://schemas.openxmlformats.org/spreadsheetml/2006/main" count="21" uniqueCount="21">
  <si>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</si>
  <si>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</si>
  <si>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</si>
  <si>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</si>
  <si>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</si>
  <si>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</si>
  <si>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</si>
  <si>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</si>
  <si>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Pan de molde Bimbo</t>
  </si>
  <si>
    <t>Leche La Serenísima 1L</t>
  </si>
  <si>
    <t>Arroz Gallo Oro 1kg</t>
  </si>
  <si>
    <t>Fideos Matarazzo 500g</t>
  </si>
  <si>
    <t>Aceite Cocinero 1L</t>
  </si>
  <si>
    <t>Yerba Mate Taragüi 1kg</t>
  </si>
  <si>
    <t>Galletitas Oreo 160g</t>
  </si>
  <si>
    <t>Azúcar Ledesma 1kg</t>
  </si>
  <si>
    <t>Café La Virginia 250g</t>
  </si>
  <si>
    <t>Jugo Cepita 1L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</si>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</sst>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0" xfId="0" applyFont="1"/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15" sqref="D15"/>
    </sheetView>
  </sheetViews>
  <sheetFormatPr defaultRowHeight="15"/>
  <cols>
    <col min="1" max="1" width="20.85546875" bestFit="1" customWidth="1"/>
    <col min="2" max="2" width="21.140625" bestFit="1" customWidth="1"/>
    <col min="3" max="3" width="13.85546875" bestFit="1" customWidth="1"/>
    <col min="4" max="4" width="16.28515625" bestFit="1" customWidth="1"/>
    <col min="5" max="5" width="11.7109375" bestFit="1" customWidth="1"/>
    <col min="6" max="7" width="15" bestFit="1" customWidth="1"/>
    <col min="8" max="8" width="36.5703125" bestFit="1" customWidth="1"/>
  </cols>
  <sheetData>
    <row r="1" spans="1:13" ht="20.2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13" ht="15.75" customHeight="1">
      <c r="A2" s="7">
        <v>46054</v>
      </c>
      <c r="B2" s="1" t="s">
        <v>8</v>
      </c>
      <c r="C2" s="5">
        <v>480</v>
      </c>
      <c r="D2" s="5">
        <v>12</v>
      </c>
      <c r="E2" s="5">
        <f>C2*D2</f>
        <v>5760</v>
      </c>
      <c r="F2" s="2">
        <f>E2*$M$9</f>
        <v>403.20000000000005</v>
      </c>
      <c r="G2" s="2">
        <f>E2-F2</f>
        <v>5356.8</v>
      </c>
      <c r="H2" s="6" t="str">
        <f>IF(AND(G2&gt;1000,D2&gt;15),"Completada","Pendiente")</f>
        <v>Pendiente</v>
      </c>
    </row>
    <row r="3" spans="1:13">
      <c r="A3" s="7">
        <v>46055</v>
      </c>
      <c r="B3" s="1" t="s">
        <v>9</v>
      </c>
      <c r="C3" s="5">
        <v>250</v>
      </c>
      <c r="D3" s="5">
        <v>30</v>
      </c>
      <c r="E3" s="5">
        <f t="shared" ref="E3:E11" si="0">C3*D3</f>
        <v>7500</v>
      </c>
      <c r="F3" s="2">
        <f t="shared" ref="F3:F11" si="1">E3*$M$9</f>
        <v>525</v>
      </c>
      <c r="G3" s="2">
        <f t="shared" ref="G3:G11" si="2">E3-F3</f>
        <v>6975</v>
      </c>
      <c r="H3" s="6" t="str">
        <f t="shared" ref="H3:H11" si="3">IF(AND(G3&gt;1000,D3&gt;15),"Completada","Pendiente")</f>
        <v>Completada</v>
      </c>
    </row>
    <row r="4" spans="1:13">
      <c r="A4" s="7">
        <v>46056</v>
      </c>
      <c r="B4" s="1" t="s">
        <v>10</v>
      </c>
      <c r="C4" s="5">
        <v>220</v>
      </c>
      <c r="D4" s="5">
        <v>15</v>
      </c>
      <c r="E4" s="5">
        <f t="shared" si="0"/>
        <v>3300</v>
      </c>
      <c r="F4" s="2">
        <f t="shared" si="1"/>
        <v>231.00000000000003</v>
      </c>
      <c r="G4" s="2">
        <f t="shared" si="2"/>
        <v>3069</v>
      </c>
      <c r="H4" s="6" t="str">
        <f t="shared" si="3"/>
        <v>Pendiente</v>
      </c>
    </row>
    <row r="5" spans="1:13">
      <c r="A5" s="7">
        <v>46057</v>
      </c>
      <c r="B5" s="1" t="s">
        <v>11</v>
      </c>
      <c r="C5" s="5">
        <v>180</v>
      </c>
      <c r="D5" s="5">
        <v>20</v>
      </c>
      <c r="E5" s="5">
        <f t="shared" si="0"/>
        <v>3600</v>
      </c>
      <c r="F5" s="2">
        <f t="shared" si="1"/>
        <v>252.00000000000003</v>
      </c>
      <c r="G5" s="2">
        <f t="shared" si="2"/>
        <v>3348</v>
      </c>
      <c r="H5" s="6" t="str">
        <f t="shared" si="3"/>
        <v>Completada</v>
      </c>
    </row>
    <row r="6" spans="1:13">
      <c r="A6" s="7">
        <v>46058</v>
      </c>
      <c r="B6" s="1" t="s">
        <v>12</v>
      </c>
      <c r="C6" s="5">
        <v>450</v>
      </c>
      <c r="D6" s="5">
        <v>8</v>
      </c>
      <c r="E6" s="5">
        <f t="shared" si="0"/>
        <v>3600</v>
      </c>
      <c r="F6" s="2">
        <f t="shared" si="1"/>
        <v>252.00000000000003</v>
      </c>
      <c r="G6" s="2">
        <f t="shared" si="2"/>
        <v>3348</v>
      </c>
      <c r="H6" s="6" t="str">
        <f t="shared" si="3"/>
        <v>Pendiente</v>
      </c>
    </row>
    <row r="7" spans="1:13">
      <c r="A7" s="7">
        <v>46059</v>
      </c>
      <c r="B7" s="1" t="s">
        <v>13</v>
      </c>
      <c r="C7" s="5">
        <v>950</v>
      </c>
      <c r="D7" s="5">
        <v>10</v>
      </c>
      <c r="E7" s="5">
        <f t="shared" si="0"/>
        <v>9500</v>
      </c>
      <c r="F7" s="2">
        <f t="shared" si="1"/>
        <v>665.00000000000011</v>
      </c>
      <c r="G7" s="2">
        <f t="shared" si="2"/>
        <v>8835</v>
      </c>
      <c r="H7" s="6" t="str">
        <f t="shared" si="3"/>
        <v>Pendiente</v>
      </c>
    </row>
    <row r="8" spans="1:13">
      <c r="A8" s="7">
        <v>46060</v>
      </c>
      <c r="B8" s="1" t="s">
        <v>14</v>
      </c>
      <c r="C8" s="5">
        <v>320</v>
      </c>
      <c r="D8" s="5">
        <v>25</v>
      </c>
      <c r="E8" s="5">
        <f t="shared" si="0"/>
        <v>8000</v>
      </c>
      <c r="F8" s="2">
        <f t="shared" si="1"/>
        <v>560</v>
      </c>
      <c r="G8" s="2">
        <f t="shared" si="2"/>
        <v>7440</v>
      </c>
      <c r="H8" s="6" t="str">
        <f t="shared" si="3"/>
        <v>Completada</v>
      </c>
    </row>
    <row r="9" spans="1:13">
      <c r="A9" s="7">
        <v>46061</v>
      </c>
      <c r="B9" s="1" t="s">
        <v>15</v>
      </c>
      <c r="C9" s="5">
        <v>200</v>
      </c>
      <c r="D9" s="5">
        <v>18</v>
      </c>
      <c r="E9" s="5">
        <f t="shared" si="0"/>
        <v>3600</v>
      </c>
      <c r="F9" s="2">
        <f t="shared" si="1"/>
        <v>252.00000000000003</v>
      </c>
      <c r="G9" s="2">
        <f t="shared" si="2"/>
        <v>3348</v>
      </c>
      <c r="H9" s="6" t="str">
        <f t="shared" si="3"/>
        <v>Completada</v>
      </c>
      <c r="M9" s="4">
        <v>7.0000000000000007E-2</v>
      </c>
    </row>
    <row r="10" spans="1:13">
      <c r="A10" s="7">
        <v>46062</v>
      </c>
      <c r="B10" s="1" t="s">
        <v>16</v>
      </c>
      <c r="C10" s="5">
        <v>800</v>
      </c>
      <c r="D10" s="5">
        <v>12</v>
      </c>
      <c r="E10" s="5">
        <f t="shared" si="0"/>
        <v>9600</v>
      </c>
      <c r="F10" s="2">
        <f t="shared" si="1"/>
        <v>672.00000000000011</v>
      </c>
      <c r="G10" s="2">
        <f t="shared" si="2"/>
        <v>8928</v>
      </c>
      <c r="H10" s="6" t="str">
        <f t="shared" si="3"/>
        <v>Pendiente</v>
      </c>
    </row>
    <row r="11" spans="1:13">
      <c r="A11" s="7">
        <v>46063</v>
      </c>
      <c r="B11" s="1" t="s">
        <v>17</v>
      </c>
      <c r="C11" s="5">
        <v>270</v>
      </c>
      <c r="D11" s="5">
        <v>22</v>
      </c>
      <c r="E11" s="5">
        <f t="shared" si="0"/>
        <v>5940</v>
      </c>
      <c r="F11" s="2">
        <f t="shared" si="1"/>
        <v>415.8</v>
      </c>
      <c r="G11" s="2">
        <f t="shared" si="2"/>
        <v>5524.2</v>
      </c>
      <c r="H11" s="6" t="str">
        <f t="shared" si="3"/>
        <v>Completada</v>
      </c>
    </row>
    <row r="12" spans="1:13">
      <c r="A12" s="3" t="s">
        <v>18</v>
      </c>
      <c r="B12" s="3">
        <f>MAX(D2:D11)</f>
        <v>30</v>
      </c>
    </row>
    <row r="13" spans="1:13">
      <c r="A13" s="3" t="s">
        <v>19</v>
      </c>
      <c r="B13" s="3">
        <f>AVERAGE(D2:D11)</f>
        <v>17.2</v>
      </c>
    </row>
    <row r="14" spans="1:13">
      <c r="A14" s="3" t="s">
        <v>20</v>
      </c>
      <c r="B14" s="3">
        <f>SUMIF(A2:A11,A2,G2:G11)</f>
        <v>5356.8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2026-02-05T01:06:32Z</dcterms:created>
  <dcterms:modified xsi:type="dcterms:W3CDTF">2026-02-05T02:11:42Z</dcterms:modified>
  <cp:category/>
  <cp:contentStatus/>
</cp:coreProperties>
</file>