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D7C25C7-9B83-47F8-B555-C1271E1ED3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2" i="1"/>
  <c r="H3" i="1"/>
  <c r="H4" i="1"/>
  <c r="H5" i="1"/>
  <c r="H6" i="1"/>
  <c r="H7" i="1"/>
  <c r="H8" i="1"/>
  <c r="H9" i="1"/>
  <c r="H10" i="1"/>
  <c r="H11" i="1"/>
  <c r="G2" i="1"/>
  <c r="F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<sst xmlns="http://schemas.openxmlformats.org/spreadsheetml/2006/main" count="21" uniqueCount="21">
  <si>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</si>
  <si>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</si>
  <si>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</si>
  <si>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 xml:space="preserve">Cantidad Vendida </t>
  </si>
  <si>
    <t xml:space="preserve">Total Ventas </t>
  </si>
  <si>
    <t>Total Descuento</t>
  </si>
  <si>
    <t xml:space="preserve">Ventas Netas </t>
  </si>
  <si>
    <t xml:space="preserve">Estado de Venta </t>
  </si>
  <si>
    <t>Leche</t>
  </si>
  <si>
    <t>Pan</t>
  </si>
  <si>
    <t>Arroz</t>
  </si>
  <si>
    <t>Fideos</t>
  </si>
  <si>
    <t>Aceite</t>
  </si>
  <si>
    <t>Azúcar</t>
  </si>
  <si>
    <t>Yerba</t>
  </si>
  <si>
    <t>Harina</t>
  </si>
  <si>
    <t>Galletitas</t>
  </si>
  <si>
    <t>Queso</t>
  </si>
  <si>
    <t xml:space="preserve">Producto mas Vendido </t>
  </si>
  <si>
    <t xml:space="preserve">Promedio Ventas </t>
  </si>
  <si>
    <t xml:space="preserve">Ventas por 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</si>
</sst>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2C0A]\ * #,##0_-;\-[$$-2C0A]\ * #,##0_-;_-[$$-2C0A]\ * &quot;-&quot;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K7" sqref="K7"/>
    </sheetView>
  </sheetViews>
  <sheetFormatPr defaultRowHeight="15"/>
  <cols>
    <col min="1" max="1" width="21.140625" bestFit="1" customWidth="1"/>
    <col min="3" max="3" width="13.85546875" bestFit="1" customWidth="1"/>
    <col min="4" max="4" width="16.85546875" bestFit="1" customWidth="1"/>
    <col min="5" max="5" width="12.42578125" customWidth="1"/>
    <col min="6" max="6" width="15.5703125" customWidth="1"/>
    <col min="7" max="7" width="12" customWidth="1"/>
    <col min="8" max="8" width="15.5703125" bestFit="1" customWidth="1"/>
  </cols>
  <sheetData>
    <row r="1" spans="1:13" ht="30.7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13">
      <c r="A2" s="1">
        <v>45292</v>
      </c>
      <c r="B2" t="s">
        <v>8</v>
      </c>
      <c r="C2" s="4">
        <v>850</v>
      </c>
      <c r="D2">
        <v>20</v>
      </c>
      <c r="E2">
        <f>C2*D2</f>
        <v>17000</v>
      </c>
      <c r="F2">
        <f>E2*$M$9</f>
        <v>1190</v>
      </c>
      <c r="G2">
        <f>E2-F2</f>
        <v>15810</v>
      </c>
      <c r="H2" t="str">
        <f>IF(AND(G2&gt;1000,D2&gt;15),"Completa","Incompleta")</f>
        <v>Completa</v>
      </c>
    </row>
    <row r="3" spans="1:13">
      <c r="A3" s="1">
        <v>45294</v>
      </c>
      <c r="B3" t="s">
        <v>9</v>
      </c>
      <c r="C3" s="4">
        <v>600</v>
      </c>
      <c r="D3">
        <v>35</v>
      </c>
      <c r="E3">
        <f t="shared" ref="E3:E11" si="0">C3*D3</f>
        <v>21000</v>
      </c>
      <c r="F3">
        <f t="shared" ref="F3:F11" si="1">E3*$M$9</f>
        <v>1470.0000000000002</v>
      </c>
      <c r="G3">
        <f t="shared" ref="G3:G11" si="2">E3-F3</f>
        <v>19530</v>
      </c>
      <c r="H3" t="str">
        <f t="shared" ref="H3:H11" si="3">IF(AND(G3&gt;1000,D3&gt;15),"Completa","Incompleta")</f>
        <v>Completa</v>
      </c>
    </row>
    <row r="4" spans="1:13">
      <c r="A4" s="1">
        <v>45296</v>
      </c>
      <c r="B4" t="s">
        <v>10</v>
      </c>
      <c r="C4" s="4">
        <v>1200</v>
      </c>
      <c r="D4">
        <v>15</v>
      </c>
      <c r="E4">
        <f t="shared" si="0"/>
        <v>18000</v>
      </c>
      <c r="F4">
        <f t="shared" si="1"/>
        <v>1260.0000000000002</v>
      </c>
      <c r="G4">
        <f t="shared" si="2"/>
        <v>16740</v>
      </c>
      <c r="H4" t="str">
        <f t="shared" si="3"/>
        <v>Incompleta</v>
      </c>
    </row>
    <row r="5" spans="1:13">
      <c r="A5" s="1">
        <v>45298</v>
      </c>
      <c r="B5" t="s">
        <v>11</v>
      </c>
      <c r="C5" s="4">
        <v>950</v>
      </c>
      <c r="D5">
        <v>25</v>
      </c>
      <c r="E5">
        <f t="shared" si="0"/>
        <v>23750</v>
      </c>
      <c r="F5">
        <f t="shared" si="1"/>
        <v>1662.5000000000002</v>
      </c>
      <c r="G5">
        <f t="shared" si="2"/>
        <v>22087.5</v>
      </c>
      <c r="H5" t="str">
        <f t="shared" si="3"/>
        <v>Completa</v>
      </c>
    </row>
    <row r="6" spans="1:13">
      <c r="A6" s="1">
        <v>45301</v>
      </c>
      <c r="B6" t="s">
        <v>12</v>
      </c>
      <c r="C6" s="4">
        <v>2200</v>
      </c>
      <c r="D6">
        <v>10</v>
      </c>
      <c r="E6">
        <f t="shared" si="0"/>
        <v>22000</v>
      </c>
      <c r="F6">
        <f t="shared" si="1"/>
        <v>1540.0000000000002</v>
      </c>
      <c r="G6">
        <f t="shared" si="2"/>
        <v>20460</v>
      </c>
      <c r="H6" t="str">
        <f t="shared" si="3"/>
        <v>Incompleta</v>
      </c>
    </row>
    <row r="7" spans="1:13">
      <c r="A7" s="1">
        <v>45303</v>
      </c>
      <c r="B7" t="s">
        <v>13</v>
      </c>
      <c r="C7" s="4">
        <v>1100</v>
      </c>
      <c r="D7">
        <v>18</v>
      </c>
      <c r="E7">
        <f t="shared" si="0"/>
        <v>19800</v>
      </c>
      <c r="F7">
        <f t="shared" si="1"/>
        <v>1386.0000000000002</v>
      </c>
      <c r="G7">
        <f t="shared" si="2"/>
        <v>18414</v>
      </c>
      <c r="H7" t="str">
        <f t="shared" si="3"/>
        <v>Completa</v>
      </c>
    </row>
    <row r="8" spans="1:13">
      <c r="A8" s="1">
        <v>45306</v>
      </c>
      <c r="B8" t="s">
        <v>14</v>
      </c>
      <c r="C8" s="4">
        <v>1800</v>
      </c>
      <c r="D8">
        <v>12</v>
      </c>
      <c r="E8">
        <f t="shared" si="0"/>
        <v>21600</v>
      </c>
      <c r="F8">
        <f t="shared" si="1"/>
        <v>1512.0000000000002</v>
      </c>
      <c r="G8">
        <f t="shared" si="2"/>
        <v>20088</v>
      </c>
      <c r="H8" t="str">
        <f t="shared" si="3"/>
        <v>Incompleta</v>
      </c>
    </row>
    <row r="9" spans="1:13">
      <c r="A9" s="1">
        <v>45309</v>
      </c>
      <c r="B9" t="s">
        <v>15</v>
      </c>
      <c r="C9" s="4">
        <v>700</v>
      </c>
      <c r="D9">
        <v>30</v>
      </c>
      <c r="E9">
        <f t="shared" si="0"/>
        <v>21000</v>
      </c>
      <c r="F9">
        <f t="shared" si="1"/>
        <v>1470.0000000000002</v>
      </c>
      <c r="G9">
        <f t="shared" si="2"/>
        <v>19530</v>
      </c>
      <c r="H9" t="str">
        <f t="shared" si="3"/>
        <v>Completa</v>
      </c>
      <c r="M9" s="3">
        <v>7.0000000000000007E-2</v>
      </c>
    </row>
    <row r="10" spans="1:13">
      <c r="A10" s="1">
        <v>45311</v>
      </c>
      <c r="B10" t="s">
        <v>16</v>
      </c>
      <c r="C10" s="4">
        <v>900</v>
      </c>
      <c r="D10">
        <v>22</v>
      </c>
      <c r="E10">
        <f t="shared" si="0"/>
        <v>19800</v>
      </c>
      <c r="F10">
        <f t="shared" si="1"/>
        <v>1386.0000000000002</v>
      </c>
      <c r="G10">
        <f t="shared" si="2"/>
        <v>18414</v>
      </c>
      <c r="H10" t="str">
        <f t="shared" si="3"/>
        <v>Completa</v>
      </c>
    </row>
    <row r="11" spans="1:13">
      <c r="A11" s="1">
        <v>45316</v>
      </c>
      <c r="B11" t="s">
        <v>17</v>
      </c>
      <c r="C11" s="4">
        <v>2500</v>
      </c>
      <c r="D11">
        <v>8</v>
      </c>
      <c r="E11">
        <f t="shared" si="0"/>
        <v>20000</v>
      </c>
      <c r="F11">
        <f t="shared" si="1"/>
        <v>1400.0000000000002</v>
      </c>
      <c r="G11">
        <f t="shared" si="2"/>
        <v>18600</v>
      </c>
      <c r="H11" t="str">
        <f t="shared" si="3"/>
        <v>Incompleta</v>
      </c>
    </row>
    <row r="12" spans="1:13">
      <c r="A12" t="s">
        <v>18</v>
      </c>
      <c r="B12">
        <f>MAX(D2:D11)</f>
        <v>35</v>
      </c>
    </row>
    <row r="13" spans="1:13">
      <c r="A13" t="s">
        <v>19</v>
      </c>
      <c r="B13">
        <f>AVERAGE(G2:G11)</f>
        <v>18967.349999999999</v>
      </c>
    </row>
    <row r="14" spans="1:13">
      <c r="A14" t="s">
        <v>20</v>
      </c>
      <c r="B14">
        <f>SUMIF(A2:A11,A2,G2:G11)</f>
        <v>15810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2026-02-06T16:51:17Z</dcterms:created>
  <dcterms:modified xsi:type="dcterms:W3CDTF">2026-02-06T19:14:39Z</dcterms:modified>
  <cp:category/>
  <cp:contentStatus/>
</cp:coreProperties>
</file>