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97519CDF-0459-439B-8AA4-608DBF8AFD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H3" i="1"/>
  <c r="H4" i="1"/>
  <c r="H5" i="1"/>
  <c r="H6" i="1"/>
  <c r="H7" i="1"/>
  <c r="H8" i="1"/>
  <c r="H9" i="1"/>
  <c r="H10" i="1"/>
  <c r="H11" i="1"/>
  <c r="H2" i="1"/>
  <c r="E3" i="1"/>
  <c r="E4" i="1"/>
  <c r="E5" i="1"/>
  <c r="E6" i="1"/>
  <c r="E7" i="1"/>
  <c r="E8" i="1"/>
  <c r="E9" i="1"/>
  <c r="E10" i="1"/>
  <c r="E11" i="1"/>
  <c r="E2" i="1"/>
  <c r="F3" i="1"/>
  <c r="F4" i="1"/>
  <c r="F5" i="1"/>
  <c r="F6" i="1"/>
  <c r="F7" i="1"/>
  <c r="F8" i="1"/>
  <c r="F9" i="1"/>
  <c r="F10" i="1"/>
  <c r="F11" i="1"/>
  <c r="F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<sst xmlns="http://schemas.openxmlformats.org/spreadsheetml/2006/main" count="21" uniqueCount="21">
  <si>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</si>
  <si>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</si>
  <si>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</si>
  <si>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</si>
  <si>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</si>
  <si>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</si>
  <si>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</si>
  <si>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</si>
  <si>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Pan</t>
  </si>
  <si>
    <t>Leche (1L)</t>
  </si>
  <si>
    <t>Arroz (1L)</t>
  </si>
  <si>
    <t>Fideos</t>
  </si>
  <si>
    <t>Azúcar (1 kg)</t>
  </si>
  <si>
    <t>Aceite (900ml)</t>
  </si>
  <si>
    <t>Yerba mate (1kg)</t>
  </si>
  <si>
    <t>Galletitas</t>
  </si>
  <si>
    <t>Queso (1kg)</t>
  </si>
  <si>
    <t>Huevos (docena)</t>
  </si>
  <si>
    <t>Producto más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</si>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</sst>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C15" sqref="C15"/>
    </sheetView>
  </sheetViews>
  <sheetFormatPr defaultRowHeight="15"/>
  <cols>
    <col min="1" max="1" width="13.140625" customWidth="1"/>
    <col min="2" max="2" width="16.140625" customWidth="1"/>
    <col min="3" max="3" width="15.28515625" customWidth="1"/>
    <col min="4" max="4" width="18" customWidth="1"/>
    <col min="5" max="5" width="17" customWidth="1"/>
    <col min="6" max="6" width="17.5703125" customWidth="1"/>
    <col min="7" max="7" width="19.42578125" customWidth="1"/>
    <col min="8" max="8" width="16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>
      <c r="A2" s="2">
        <v>45296</v>
      </c>
      <c r="B2" t="s">
        <v>8</v>
      </c>
      <c r="C2">
        <v>600</v>
      </c>
      <c r="D2">
        <v>35</v>
      </c>
      <c r="E2">
        <f>C2*D2</f>
        <v>21000</v>
      </c>
      <c r="F2">
        <f>C2*(1-$M$9)</f>
        <v>558</v>
      </c>
      <c r="G2">
        <f>E2*D2</f>
        <v>735000</v>
      </c>
      <c r="H2" t="str">
        <f>IF(AND(E2&gt;1000,D2&gt;15),"completo","")</f>
        <v>completo</v>
      </c>
    </row>
    <row r="3" spans="1:13">
      <c r="A3" s="2">
        <v>45298</v>
      </c>
      <c r="B3" t="s">
        <v>9</v>
      </c>
      <c r="C3">
        <v>950</v>
      </c>
      <c r="D3">
        <v>20</v>
      </c>
      <c r="E3">
        <f t="shared" ref="E3:E11" si="0">C3*D3</f>
        <v>19000</v>
      </c>
      <c r="F3">
        <f t="shared" ref="F3:F11" si="1">C3*(1-$M$9)</f>
        <v>883.49999999999989</v>
      </c>
      <c r="G3">
        <f t="shared" ref="G3:G11" si="2">E3*D3</f>
        <v>380000</v>
      </c>
      <c r="H3" t="str">
        <f t="shared" ref="H3:H11" si="3">IF(AND(E3&gt;1000,D3&gt;15),"completo","")</f>
        <v>completo</v>
      </c>
    </row>
    <row r="4" spans="1:13">
      <c r="A4" s="2">
        <v>45301</v>
      </c>
      <c r="B4" t="s">
        <v>10</v>
      </c>
      <c r="C4" s="4">
        <v>1200</v>
      </c>
      <c r="D4">
        <v>15</v>
      </c>
      <c r="E4">
        <f t="shared" si="0"/>
        <v>18000</v>
      </c>
      <c r="F4">
        <f t="shared" si="1"/>
        <v>1116</v>
      </c>
      <c r="G4">
        <f t="shared" si="2"/>
        <v>270000</v>
      </c>
      <c r="H4" t="str">
        <f t="shared" si="3"/>
        <v/>
      </c>
    </row>
    <row r="5" spans="1:13">
      <c r="A5" s="2">
        <v>45303</v>
      </c>
      <c r="B5" t="s">
        <v>11</v>
      </c>
      <c r="C5">
        <v>850</v>
      </c>
      <c r="D5">
        <v>25</v>
      </c>
      <c r="E5">
        <f t="shared" si="0"/>
        <v>21250</v>
      </c>
      <c r="F5">
        <f t="shared" si="1"/>
        <v>790.5</v>
      </c>
      <c r="G5">
        <f t="shared" si="2"/>
        <v>531250</v>
      </c>
      <c r="H5" t="str">
        <f t="shared" si="3"/>
        <v>completo</v>
      </c>
    </row>
    <row r="6" spans="1:13">
      <c r="A6" s="2">
        <v>45306</v>
      </c>
      <c r="B6" t="s">
        <v>12</v>
      </c>
      <c r="C6" s="4">
        <v>1100</v>
      </c>
      <c r="D6">
        <v>18</v>
      </c>
      <c r="E6">
        <f t="shared" si="0"/>
        <v>19800</v>
      </c>
      <c r="F6">
        <f t="shared" si="1"/>
        <v>1022.9999999999999</v>
      </c>
      <c r="G6">
        <f t="shared" si="2"/>
        <v>356400</v>
      </c>
      <c r="H6" t="str">
        <f t="shared" si="3"/>
        <v>completo</v>
      </c>
    </row>
    <row r="7" spans="1:13">
      <c r="A7" s="2">
        <v>45309</v>
      </c>
      <c r="B7" t="s">
        <v>13</v>
      </c>
      <c r="C7" s="4">
        <v>3200</v>
      </c>
      <c r="D7">
        <v>10</v>
      </c>
      <c r="E7">
        <f t="shared" si="0"/>
        <v>32000</v>
      </c>
      <c r="F7">
        <f t="shared" si="1"/>
        <v>2976</v>
      </c>
      <c r="G7">
        <f t="shared" si="2"/>
        <v>320000</v>
      </c>
      <c r="H7" t="str">
        <f t="shared" si="3"/>
        <v/>
      </c>
    </row>
    <row r="8" spans="1:13">
      <c r="A8" s="2">
        <v>45311</v>
      </c>
      <c r="B8" t="s">
        <v>14</v>
      </c>
      <c r="C8" s="4">
        <v>4500</v>
      </c>
      <c r="D8">
        <v>12</v>
      </c>
      <c r="E8">
        <f t="shared" si="0"/>
        <v>54000</v>
      </c>
      <c r="F8">
        <f t="shared" si="1"/>
        <v>4185</v>
      </c>
      <c r="G8">
        <f t="shared" si="2"/>
        <v>648000</v>
      </c>
      <c r="H8" t="str">
        <f t="shared" si="3"/>
        <v/>
      </c>
    </row>
    <row r="9" spans="1:13">
      <c r="A9" s="2">
        <v>45313</v>
      </c>
      <c r="B9" t="s">
        <v>15</v>
      </c>
      <c r="C9" s="4">
        <v>1500</v>
      </c>
      <c r="D9">
        <v>30</v>
      </c>
      <c r="E9">
        <f t="shared" si="0"/>
        <v>45000</v>
      </c>
      <c r="F9">
        <f t="shared" si="1"/>
        <v>1395</v>
      </c>
      <c r="G9">
        <f t="shared" si="2"/>
        <v>1350000</v>
      </c>
      <c r="H9" t="str">
        <f t="shared" si="3"/>
        <v>completo</v>
      </c>
      <c r="M9" s="3">
        <v>7.0000000000000007E-2</v>
      </c>
    </row>
    <row r="10" spans="1:13">
      <c r="A10" s="2">
        <v>45316</v>
      </c>
      <c r="B10" t="s">
        <v>16</v>
      </c>
      <c r="C10" s="4">
        <v>6800</v>
      </c>
      <c r="D10">
        <v>8</v>
      </c>
      <c r="E10">
        <f t="shared" si="0"/>
        <v>54400</v>
      </c>
      <c r="F10">
        <f t="shared" si="1"/>
        <v>6324</v>
      </c>
      <c r="G10">
        <f t="shared" si="2"/>
        <v>435200</v>
      </c>
      <c r="H10" t="str">
        <f t="shared" si="3"/>
        <v/>
      </c>
    </row>
    <row r="11" spans="1:13">
      <c r="A11" s="2">
        <v>45319</v>
      </c>
      <c r="B11" t="s">
        <v>17</v>
      </c>
      <c r="C11" s="4">
        <v>2400</v>
      </c>
      <c r="D11">
        <v>14</v>
      </c>
      <c r="E11">
        <f t="shared" si="0"/>
        <v>33600</v>
      </c>
      <c r="F11">
        <f t="shared" si="1"/>
        <v>2232</v>
      </c>
      <c r="G11">
        <f t="shared" si="2"/>
        <v>470400</v>
      </c>
      <c r="H11" t="str">
        <f t="shared" si="3"/>
        <v/>
      </c>
    </row>
    <row r="12" spans="1:13">
      <c r="A12" t="s">
        <v>18</v>
      </c>
      <c r="C12">
        <f>MAX(D2:D11)</f>
        <v>35</v>
      </c>
      <c r="F12" s="3"/>
    </row>
    <row r="13" spans="1:13">
      <c r="A13" t="s">
        <v>19</v>
      </c>
      <c r="C13">
        <f>AVERAGE(D2:D11)</f>
        <v>18.7</v>
      </c>
    </row>
    <row r="14" spans="1:13">
      <c r="A14" t="s">
        <v>20</v>
      </c>
      <c r="C14">
        <f>SUMIF(A2:A11,A2,E2:E11)</f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2026-02-07T00:41:37Z</dcterms:created>
  <dcterms:modified xsi:type="dcterms:W3CDTF">2026-02-07T02:33:27Z</dcterms:modified>
  <cp:category/>
  <cp:contentStatus/>
</cp:coreProperties>
</file>