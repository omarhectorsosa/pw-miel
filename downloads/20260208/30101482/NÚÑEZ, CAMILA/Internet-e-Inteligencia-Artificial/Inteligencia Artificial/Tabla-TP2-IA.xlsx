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FB356D26-64A3-4C7F-BE83-09672497FF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E12" i="1"/>
  <c r="F3" i="1"/>
  <c r="F4" i="1"/>
  <c r="F5" i="1"/>
  <c r="F6" i="1"/>
  <c r="F7" i="1"/>
  <c r="F8" i="1"/>
  <c r="F9" i="1"/>
  <c r="F10" i="1"/>
  <c r="F11" i="1"/>
  <c r="F2" i="1"/>
  <c r="F13" i="1" s="1"/>
  <c r="G7" i="1" l="1"/>
  <c r="H7" i="1" s="1"/>
  <c r="I7" i="1" s="1"/>
  <c r="G6" i="1"/>
  <c r="H6" i="1" s="1"/>
  <c r="I6" i="1" s="1"/>
  <c r="G4" i="1"/>
  <c r="H4" i="1" s="1"/>
  <c r="I4" i="1" s="1"/>
  <c r="G11" i="1"/>
  <c r="H11" i="1" s="1"/>
  <c r="I11" i="1" s="1"/>
  <c r="G10" i="1"/>
  <c r="H10" i="1" s="1"/>
  <c r="I10" i="1" s="1"/>
  <c r="G9" i="1"/>
  <c r="H9" i="1" s="1"/>
  <c r="I9" i="1" s="1"/>
  <c r="G8" i="1"/>
  <c r="H8" i="1" s="1"/>
  <c r="I8" i="1" s="1"/>
  <c r="G5" i="1"/>
  <c r="H5" i="1" s="1"/>
  <c r="I5" i="1" s="1"/>
  <c r="G3" i="1"/>
  <c r="H3" i="1" s="1"/>
  <c r="I3" i="1" s="1"/>
  <c r="G2" i="1"/>
  <c r="H2" i="1" s="1"/>
  <c r="I2" i="1" l="1"/>
  <c r="H13" i="1"/>
</calcChain>
</file>

<file path=xl/sharedStrings.xml><?xml version="1.0" encoding="utf-8"?>
<sst xmlns="http://schemas.openxmlformats.org/spreadsheetml/2006/main" count="22" uniqueCount="21">
  <si>
    <t>Fecha</t>
  </si>
  <si>
    <t>Producto</t>
  </si>
  <si>
    <t>Precio Unitario</t>
  </si>
  <si>
    <t>Cantidad Vendida</t>
  </si>
  <si>
    <t xml:space="preserve">Total Ventas </t>
  </si>
  <si>
    <t>Total Descuento</t>
  </si>
  <si>
    <t>Ventas Netas</t>
  </si>
  <si>
    <t>Estado de Venta</t>
  </si>
  <si>
    <t>Leche entera</t>
  </si>
  <si>
    <t>Pan de molde</t>
  </si>
  <si>
    <t>Arroz largo fino</t>
  </si>
  <si>
    <t>Aceite de girasol</t>
  </si>
  <si>
    <t>Fideos secos</t>
  </si>
  <si>
    <t>Azúcar</t>
  </si>
  <si>
    <t>Yerba mate</t>
  </si>
  <si>
    <t>Galletitas</t>
  </si>
  <si>
    <t>Detergente</t>
  </si>
  <si>
    <t>Papel higiénico</t>
  </si>
  <si>
    <t>Porducto más vendido</t>
  </si>
  <si>
    <t>Promedio de ventas</t>
  </si>
  <si>
    <t>Ventas por 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</si>
</sst>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I14" sqref="A1:I14"/>
    </sheetView>
  </sheetViews>
  <sheetFormatPr defaultRowHeight="15"/>
  <cols>
    <col min="1" max="1" width="14.140625" customWidth="1"/>
    <col min="2" max="9" width="22.7109375" customWidth="1"/>
    <col min="10" max="12" width="0" hidden="1" customWidth="1"/>
  </cols>
  <sheetData>
    <row r="1" spans="1:14">
      <c r="A1" s="10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"/>
      <c r="K1" s="1"/>
      <c r="L1" s="1"/>
      <c r="M1" s="1"/>
    </row>
    <row r="2" spans="1:14">
      <c r="A2" s="10"/>
      <c r="B2" s="5">
        <v>45505</v>
      </c>
      <c r="C2" s="6" t="s">
        <v>8</v>
      </c>
      <c r="D2" s="7">
        <v>2</v>
      </c>
      <c r="E2" s="6">
        <v>500</v>
      </c>
      <c r="F2" s="7">
        <f>+D2*E2</f>
        <v>1000</v>
      </c>
      <c r="G2" s="7">
        <f>F2*$N$9</f>
        <v>70</v>
      </c>
      <c r="H2" s="7">
        <f>+F2-G2</f>
        <v>930</v>
      </c>
      <c r="I2" s="6" t="str">
        <f>IF(AND(H2&gt;1000,E2&gt;15),"Completa","Incompleta")</f>
        <v>Incompleta</v>
      </c>
      <c r="N2" s="4"/>
    </row>
    <row r="3" spans="1:14">
      <c r="A3" s="10"/>
      <c r="B3" s="5">
        <v>45505</v>
      </c>
      <c r="C3" s="6" t="s">
        <v>9</v>
      </c>
      <c r="D3" s="7">
        <v>1.5</v>
      </c>
      <c r="E3" s="6">
        <v>952</v>
      </c>
      <c r="F3" s="7">
        <f t="shared" ref="F3:F12" si="0">+D3*E3</f>
        <v>1428</v>
      </c>
      <c r="G3" s="7">
        <f t="shared" ref="G3:G11" si="1">F3*$N$9</f>
        <v>99.960000000000008</v>
      </c>
      <c r="H3" s="7">
        <f t="shared" ref="H3:H11" si="2">+F3-G3</f>
        <v>1328.04</v>
      </c>
      <c r="I3" s="6" t="str">
        <f t="shared" ref="I3:I11" si="3">IF(AND(H3&gt;1000,E3&gt;15),"Completa","Incompleta")</f>
        <v>Completa</v>
      </c>
    </row>
    <row r="4" spans="1:14">
      <c r="A4" s="10"/>
      <c r="B4" s="5">
        <v>45506</v>
      </c>
      <c r="C4" s="6" t="s">
        <v>10</v>
      </c>
      <c r="D4" s="7">
        <v>3</v>
      </c>
      <c r="E4" s="6">
        <v>30</v>
      </c>
      <c r="F4" s="7">
        <f t="shared" si="0"/>
        <v>90</v>
      </c>
      <c r="G4" s="7">
        <f t="shared" si="1"/>
        <v>6.3000000000000007</v>
      </c>
      <c r="H4" s="7">
        <f t="shared" si="2"/>
        <v>83.7</v>
      </c>
      <c r="I4" s="6" t="str">
        <f t="shared" si="3"/>
        <v>Incompleta</v>
      </c>
    </row>
    <row r="5" spans="1:14">
      <c r="A5" s="10"/>
      <c r="B5" s="5">
        <v>45506</v>
      </c>
      <c r="C5" s="6" t="s">
        <v>11</v>
      </c>
      <c r="D5" s="7">
        <v>4</v>
      </c>
      <c r="E5" s="6">
        <v>1050</v>
      </c>
      <c r="F5" s="7">
        <f t="shared" si="0"/>
        <v>4200</v>
      </c>
      <c r="G5" s="7">
        <f t="shared" si="1"/>
        <v>294</v>
      </c>
      <c r="H5" s="7">
        <f t="shared" si="2"/>
        <v>3906</v>
      </c>
      <c r="I5" s="6" t="str">
        <f t="shared" si="3"/>
        <v>Completa</v>
      </c>
    </row>
    <row r="6" spans="1:14">
      <c r="A6" s="10"/>
      <c r="B6" s="5">
        <v>45507</v>
      </c>
      <c r="C6" s="6" t="s">
        <v>12</v>
      </c>
      <c r="D6" s="7">
        <v>1.2</v>
      </c>
      <c r="E6" s="6">
        <v>40</v>
      </c>
      <c r="F6" s="7">
        <f t="shared" si="0"/>
        <v>48</v>
      </c>
      <c r="G6" s="7">
        <f t="shared" si="1"/>
        <v>3.3600000000000003</v>
      </c>
      <c r="H6" s="7">
        <f t="shared" si="2"/>
        <v>44.64</v>
      </c>
      <c r="I6" s="6" t="str">
        <f t="shared" si="3"/>
        <v>Incompleta</v>
      </c>
    </row>
    <row r="7" spans="1:14">
      <c r="A7" s="10"/>
      <c r="B7" s="5">
        <v>45508</v>
      </c>
      <c r="C7" s="6" t="s">
        <v>13</v>
      </c>
      <c r="D7" s="7">
        <v>1.8</v>
      </c>
      <c r="E7" s="6">
        <v>35</v>
      </c>
      <c r="F7" s="7">
        <f t="shared" si="0"/>
        <v>63</v>
      </c>
      <c r="G7" s="7">
        <f t="shared" si="1"/>
        <v>4.41</v>
      </c>
      <c r="H7" s="7">
        <f t="shared" si="2"/>
        <v>58.59</v>
      </c>
      <c r="I7" s="6" t="str">
        <f t="shared" si="3"/>
        <v>Incompleta</v>
      </c>
    </row>
    <row r="8" spans="1:14">
      <c r="A8" s="10"/>
      <c r="B8" s="5">
        <v>45509</v>
      </c>
      <c r="C8" s="6" t="s">
        <v>14</v>
      </c>
      <c r="D8" s="7">
        <v>3.5</v>
      </c>
      <c r="E8" s="6">
        <v>805</v>
      </c>
      <c r="F8" s="7">
        <f t="shared" si="0"/>
        <v>2817.5</v>
      </c>
      <c r="G8" s="7">
        <f t="shared" si="1"/>
        <v>197.22500000000002</v>
      </c>
      <c r="H8" s="7">
        <f t="shared" si="2"/>
        <v>2620.2750000000001</v>
      </c>
      <c r="I8" s="6" t="str">
        <f t="shared" si="3"/>
        <v>Completa</v>
      </c>
    </row>
    <row r="9" spans="1:14">
      <c r="A9" s="10"/>
      <c r="B9" s="5">
        <v>45510</v>
      </c>
      <c r="C9" s="6" t="s">
        <v>15</v>
      </c>
      <c r="D9" s="7">
        <v>1.75</v>
      </c>
      <c r="E9" s="6">
        <v>250</v>
      </c>
      <c r="F9" s="7">
        <f t="shared" si="0"/>
        <v>437.5</v>
      </c>
      <c r="G9" s="7">
        <f t="shared" si="1"/>
        <v>30.625000000000004</v>
      </c>
      <c r="H9" s="7">
        <f t="shared" si="2"/>
        <v>406.875</v>
      </c>
      <c r="I9" s="6" t="str">
        <f t="shared" si="3"/>
        <v>Incompleta</v>
      </c>
      <c r="N9" s="4">
        <v>7.0000000000000007E-2</v>
      </c>
    </row>
    <row r="10" spans="1:14">
      <c r="A10" s="10"/>
      <c r="B10" s="5">
        <v>45511</v>
      </c>
      <c r="C10" s="6" t="s">
        <v>16</v>
      </c>
      <c r="D10" s="7">
        <v>2.75</v>
      </c>
      <c r="E10" s="6">
        <v>120</v>
      </c>
      <c r="F10" s="7">
        <f t="shared" si="0"/>
        <v>330</v>
      </c>
      <c r="G10" s="7">
        <f t="shared" si="1"/>
        <v>23.1</v>
      </c>
      <c r="H10" s="7">
        <f t="shared" si="2"/>
        <v>306.89999999999998</v>
      </c>
      <c r="I10" s="6" t="str">
        <f t="shared" si="3"/>
        <v>Incompleta</v>
      </c>
    </row>
    <row r="11" spans="1:14">
      <c r="A11" s="10"/>
      <c r="B11" s="5">
        <v>45512</v>
      </c>
      <c r="C11" s="6" t="s">
        <v>17</v>
      </c>
      <c r="D11" s="7">
        <v>3.2</v>
      </c>
      <c r="E11" s="6">
        <v>2000</v>
      </c>
      <c r="F11" s="7">
        <f t="shared" si="0"/>
        <v>6400</v>
      </c>
      <c r="G11" s="7">
        <f t="shared" si="1"/>
        <v>448.00000000000006</v>
      </c>
      <c r="H11" s="7">
        <f t="shared" si="2"/>
        <v>5952</v>
      </c>
      <c r="I11" s="6" t="str">
        <f t="shared" si="3"/>
        <v>Completa</v>
      </c>
    </row>
    <row r="12" spans="1:14" s="2" customFormat="1" ht="30.75">
      <c r="A12" s="8" t="s">
        <v>18</v>
      </c>
      <c r="B12" s="8"/>
      <c r="C12" s="6" t="s">
        <v>17</v>
      </c>
      <c r="D12" s="6"/>
      <c r="E12" s="6">
        <f>MAX(E2:E11)</f>
        <v>2000</v>
      </c>
      <c r="F12" s="9"/>
      <c r="G12" s="6"/>
      <c r="H12" s="6"/>
      <c r="I12" s="6"/>
    </row>
    <row r="13" spans="1:14" s="2" customFormat="1" ht="30.75">
      <c r="A13" s="8" t="s">
        <v>19</v>
      </c>
      <c r="B13" s="8"/>
      <c r="C13" s="6"/>
      <c r="D13" s="6"/>
      <c r="E13" s="6"/>
      <c r="F13" s="7">
        <f>AVERAGE(F2:F10)</f>
        <v>1157.1111111111111</v>
      </c>
      <c r="G13" s="6"/>
      <c r="H13" s="7">
        <f>AVERAGE(H2:H10)</f>
        <v>1076.1133333333335</v>
      </c>
      <c r="I13" s="6"/>
      <c r="K13" s="3"/>
    </row>
    <row r="14" spans="1:14" s="2" customFormat="1" ht="30.75">
      <c r="A14" s="8" t="s">
        <v>20</v>
      </c>
      <c r="B14" s="8"/>
      <c r="C14" s="8"/>
      <c r="D14" s="8"/>
      <c r="E14" s="8"/>
      <c r="F14" s="8"/>
      <c r="G14" s="8"/>
      <c r="H14" s="8">
        <f>SUMIF(B2:B11,B2,H2:H11)</f>
        <v>2258.04</v>
      </c>
      <c r="I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2026-02-07T14:46:37Z</dcterms:created>
  <dcterms:modified xsi:type="dcterms:W3CDTF">2026-02-07T16:20:48Z</dcterms:modified>
  <cp:category/>
  <cp:contentStatus/>
</cp:coreProperties>
</file>