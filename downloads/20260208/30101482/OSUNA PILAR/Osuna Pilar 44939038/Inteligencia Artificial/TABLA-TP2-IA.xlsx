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03"/>
  <workbookPr defaultThemeVersion="166925"/>
  <xr:revisionPtr revIDLastSave="0" documentId="8_{536C05AA-2522-47B8-B26C-8ACB07BBFA0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B13" i="1"/>
  <c r="B12" i="1"/>
  <c r="H3" i="1"/>
  <c r="H4" i="1"/>
  <c r="H5" i="1"/>
  <c r="H6" i="1"/>
  <c r="H7" i="1"/>
  <c r="H8" i="1"/>
  <c r="H9" i="1"/>
  <c r="H10" i="1"/>
  <c r="H11" i="1"/>
  <c r="H2" i="1"/>
  <c r="G3" i="1"/>
  <c r="G4" i="1"/>
  <c r="G5" i="1"/>
  <c r="G6" i="1"/>
  <c r="G7" i="1"/>
  <c r="G8" i="1"/>
  <c r="G9" i="1"/>
  <c r="G10" i="1"/>
  <c r="G11" i="1"/>
  <c r="G2" i="1"/>
  <c r="F3" i="1"/>
  <c r="F4" i="1"/>
  <c r="F5" i="1"/>
  <c r="F6" i="1"/>
  <c r="F7" i="1"/>
  <c r="F8" i="1"/>
  <c r="F9" i="1"/>
  <c r="F10" i="1"/>
  <c r="F11" i="1"/>
  <c r="F2" i="1"/>
  <c r="E3" i="1"/>
  <c r="E4" i="1"/>
  <c r="E5" i="1"/>
  <c r="E6" i="1"/>
  <c r="E7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<sst xmlns="http://schemas.openxmlformats.org/spreadsheetml/2006/main" count="21" uniqueCount="21">
  <si>
    <t>Fecha</t>
  </si>
  <si>
    <t>Producto</t>
  </si>
  <si>
    <t>Precio Unitario</t>
  </si>
  <si>
    <t>Cantidad Vendida</t>
  </si>
  <si>
    <t>Total Ventas</t>
  </si>
  <si>
    <t>Total Descuento</t>
  </si>
  <si>
    <t>Ventas Netas</t>
  </si>
  <si>
    <t>Estado de Venta</t>
  </si>
  <si>
    <t>Yerba Mate Taragüí 1 kg</t>
  </si>
  <si>
    <t>Leche La Serenísima Entera 1 L</t>
  </si>
  <si>
    <t>Pan Lactal Bimbo Blanco</t>
  </si>
  <si>
    <t>Azúcar Ledesma 1 kg</t>
  </si>
  <si>
    <t>Aceite Natura Girasol 900 ml</t>
  </si>
  <si>
    <t>Arroz Gallo Oro 1 kg</t>
  </si>
  <si>
    <t>Fideos Matarazzo Spaghetti 500 g</t>
  </si>
  <si>
    <t>Coca-Cola Original 2,25 L</t>
  </si>
  <si>
    <t>Queso Cremoso La Paulina 300 g</t>
  </si>
  <si>
    <t>Huevos blancos (docena)</t>
  </si>
  <si>
    <t>Producto mas vendido</t>
  </si>
  <si>
    <t>Promedio de ventas</t>
  </si>
  <si>
    <t>Ventas por 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</si>
</sst>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B15" sqref="B15"/>
    </sheetView>
  </sheetViews>
  <sheetFormatPr defaultRowHeight="15"/>
  <cols>
    <col min="1" max="1" width="21.5703125" bestFit="1" customWidth="1"/>
    <col min="2" max="2" width="30.140625" bestFit="1" customWidth="1"/>
    <col min="3" max="3" width="16.85546875" bestFit="1" customWidth="1"/>
    <col min="4" max="4" width="16.42578125" bestFit="1" customWidth="1"/>
    <col min="5" max="5" width="11.7109375" bestFit="1" customWidth="1"/>
    <col min="6" max="6" width="15" bestFit="1" customWidth="1"/>
    <col min="7" max="7" width="12.42578125" bestFit="1" customWidth="1"/>
    <col min="8" max="8" width="36.57031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7.25" customHeight="1">
      <c r="A2" s="1">
        <v>46024</v>
      </c>
      <c r="B2" t="s">
        <v>8</v>
      </c>
      <c r="C2">
        <v>4200</v>
      </c>
      <c r="D2">
        <v>3</v>
      </c>
      <c r="E2">
        <f>C2*D2</f>
        <v>12600</v>
      </c>
      <c r="F2">
        <f>E2*7%</f>
        <v>882.00000000000011</v>
      </c>
      <c r="G2">
        <f>E2-F2</f>
        <v>11718</v>
      </c>
      <c r="H2" s="2" t="str">
        <f>IF(AND(G2&gt;1000,D2&gt;15),"Venta exitosa","Venta baja")</f>
        <v>Venta baja</v>
      </c>
    </row>
    <row r="3" spans="1:8">
      <c r="A3" s="1">
        <v>46024</v>
      </c>
      <c r="B3" t="s">
        <v>9</v>
      </c>
      <c r="C3">
        <v>1800</v>
      </c>
      <c r="D3">
        <v>5</v>
      </c>
      <c r="E3">
        <f t="shared" ref="E3:E11" si="0">C3*D3</f>
        <v>9000</v>
      </c>
      <c r="F3">
        <f t="shared" ref="F3:F11" si="1">E3*7%</f>
        <v>630.00000000000011</v>
      </c>
      <c r="G3">
        <f t="shared" ref="G3:G11" si="2">E3-F3</f>
        <v>8370</v>
      </c>
      <c r="H3" s="2" t="str">
        <f t="shared" ref="H3:H11" si="3">IF(AND(G3&gt;1000,D3&gt;15),"Venta exitosa","Venta baja")</f>
        <v>Venta baja</v>
      </c>
    </row>
    <row r="4" spans="1:8">
      <c r="A4" s="1">
        <v>46055</v>
      </c>
      <c r="B4" t="s">
        <v>10</v>
      </c>
      <c r="C4">
        <v>2500</v>
      </c>
      <c r="D4">
        <v>2</v>
      </c>
      <c r="E4">
        <f t="shared" si="0"/>
        <v>5000</v>
      </c>
      <c r="F4">
        <f t="shared" si="1"/>
        <v>350.00000000000006</v>
      </c>
      <c r="G4">
        <f t="shared" si="2"/>
        <v>4650</v>
      </c>
      <c r="H4" s="2" t="str">
        <f t="shared" si="3"/>
        <v>Venta baja</v>
      </c>
    </row>
    <row r="5" spans="1:8">
      <c r="A5" s="1">
        <v>46055</v>
      </c>
      <c r="B5" t="s">
        <v>11</v>
      </c>
      <c r="C5">
        <v>1600</v>
      </c>
      <c r="D5">
        <v>4</v>
      </c>
      <c r="E5">
        <f t="shared" si="0"/>
        <v>6400</v>
      </c>
      <c r="F5">
        <f t="shared" si="1"/>
        <v>448.00000000000006</v>
      </c>
      <c r="G5">
        <f t="shared" si="2"/>
        <v>5952</v>
      </c>
      <c r="H5" s="2" t="str">
        <f t="shared" si="3"/>
        <v>Venta baja</v>
      </c>
    </row>
    <row r="6" spans="1:8">
      <c r="A6" s="1">
        <v>46083</v>
      </c>
      <c r="B6" t="s">
        <v>12</v>
      </c>
      <c r="C6">
        <v>3900</v>
      </c>
      <c r="D6">
        <v>2</v>
      </c>
      <c r="E6">
        <f t="shared" si="0"/>
        <v>7800</v>
      </c>
      <c r="F6">
        <f t="shared" si="1"/>
        <v>546</v>
      </c>
      <c r="G6">
        <f t="shared" si="2"/>
        <v>7254</v>
      </c>
      <c r="H6" s="2" t="str">
        <f t="shared" si="3"/>
        <v>Venta baja</v>
      </c>
    </row>
    <row r="7" spans="1:8">
      <c r="A7" s="1">
        <v>46083</v>
      </c>
      <c r="B7" t="s">
        <v>13</v>
      </c>
      <c r="C7">
        <v>2100</v>
      </c>
      <c r="D7">
        <v>3</v>
      </c>
      <c r="E7">
        <f t="shared" si="0"/>
        <v>6300</v>
      </c>
      <c r="F7">
        <f t="shared" si="1"/>
        <v>441.00000000000006</v>
      </c>
      <c r="G7">
        <f t="shared" si="2"/>
        <v>5859</v>
      </c>
      <c r="H7" s="2" t="str">
        <f t="shared" si="3"/>
        <v>Venta baja</v>
      </c>
    </row>
    <row r="8" spans="1:8">
      <c r="A8" s="1">
        <v>46114</v>
      </c>
      <c r="B8" t="s">
        <v>14</v>
      </c>
      <c r="C8">
        <v>1300</v>
      </c>
      <c r="D8">
        <v>6</v>
      </c>
      <c r="E8">
        <f t="shared" si="0"/>
        <v>7800</v>
      </c>
      <c r="F8">
        <f t="shared" si="1"/>
        <v>546</v>
      </c>
      <c r="G8">
        <f t="shared" si="2"/>
        <v>7254</v>
      </c>
      <c r="H8" s="2" t="str">
        <f t="shared" si="3"/>
        <v>Venta baja</v>
      </c>
    </row>
    <row r="9" spans="1:8">
      <c r="A9" s="1">
        <v>46114</v>
      </c>
      <c r="B9" t="s">
        <v>15</v>
      </c>
      <c r="C9">
        <v>3200</v>
      </c>
      <c r="D9">
        <v>2</v>
      </c>
      <c r="E9">
        <f t="shared" si="0"/>
        <v>6400</v>
      </c>
      <c r="F9">
        <f t="shared" si="1"/>
        <v>448.00000000000006</v>
      </c>
      <c r="G9">
        <f t="shared" si="2"/>
        <v>5952</v>
      </c>
      <c r="H9" s="2" t="str">
        <f t="shared" si="3"/>
        <v>Venta baja</v>
      </c>
    </row>
    <row r="10" spans="1:8">
      <c r="A10" s="1">
        <v>46144</v>
      </c>
      <c r="B10" t="s">
        <v>16</v>
      </c>
      <c r="C10">
        <v>3600</v>
      </c>
      <c r="D10">
        <v>1</v>
      </c>
      <c r="E10">
        <f t="shared" si="0"/>
        <v>3600</v>
      </c>
      <c r="F10">
        <f t="shared" si="1"/>
        <v>252.00000000000003</v>
      </c>
      <c r="G10">
        <f t="shared" si="2"/>
        <v>3348</v>
      </c>
      <c r="H10" s="2" t="str">
        <f t="shared" si="3"/>
        <v>Venta baja</v>
      </c>
    </row>
    <row r="11" spans="1:8">
      <c r="A11" s="1">
        <v>46144</v>
      </c>
      <c r="B11" t="s">
        <v>17</v>
      </c>
      <c r="C11">
        <v>2800</v>
      </c>
      <c r="D11">
        <v>2</v>
      </c>
      <c r="E11">
        <f t="shared" si="0"/>
        <v>5600</v>
      </c>
      <c r="F11">
        <f t="shared" si="1"/>
        <v>392.00000000000006</v>
      </c>
      <c r="G11">
        <f t="shared" si="2"/>
        <v>5208</v>
      </c>
      <c r="H11" s="2" t="str">
        <f t="shared" si="3"/>
        <v>Venta baja</v>
      </c>
    </row>
    <row r="12" spans="1:8" ht="16.5" customHeight="1">
      <c r="A12" t="s">
        <v>18</v>
      </c>
      <c r="B12" s="2" t="str">
        <f>INDEX(B2:B11,MATCH(MAX(D2:D11),D2:D11,0))</f>
        <v>Fideos Matarazzo Spaghetti 500 g</v>
      </c>
    </row>
    <row r="13" spans="1:8">
      <c r="A13" t="s">
        <v>19</v>
      </c>
      <c r="B13">
        <f>AVERAGE(D2:D11)</f>
        <v>3</v>
      </c>
    </row>
    <row r="14" spans="1:8" ht="30.75">
      <c r="A14" t="s">
        <v>20</v>
      </c>
      <c r="B14" s="2">
        <f>SUMIF(A2:A11,A2,G2:G11)</f>
        <v>20088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2026-02-07T04:45:00Z</dcterms:created>
  <dcterms:modified xsi:type="dcterms:W3CDTF">2026-02-07T13:50:21Z</dcterms:modified>
  <cp:category/>
  <cp:contentStatus/>
</cp:coreProperties>
</file>