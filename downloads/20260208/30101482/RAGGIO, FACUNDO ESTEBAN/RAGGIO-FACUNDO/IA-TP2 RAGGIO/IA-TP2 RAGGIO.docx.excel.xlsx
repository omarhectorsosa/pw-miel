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C:\Users\Facundo\Downloads\"/>
    </mc:Choice>
  </mc:AlternateContent>
  <bookViews>
    <workbookView xWindow="240" yWindow="105" windowWidth="14805" windowHeight="801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4" i="1" l="1"/>
  <c r="B13" i="1"/>
  <c r="B12" i="1"/>
  <c r="F3" i="1" l="1"/>
  <c r="G3" i="1" s="1"/>
  <c r="H3" i="1" s="1"/>
  <c r="F10" i="1"/>
  <c r="G10" i="1" s="1"/>
  <c r="H10" i="1" s="1"/>
  <c r="F11" i="1"/>
  <c r="G11" i="1" s="1"/>
  <c r="E3" i="1"/>
  <c r="E4" i="1"/>
  <c r="F4" i="1" s="1"/>
  <c r="G4" i="1" s="1"/>
  <c r="H4" i="1" s="1"/>
  <c r="E5" i="1"/>
  <c r="F5" i="1" s="1"/>
  <c r="G5" i="1" s="1"/>
  <c r="E6" i="1"/>
  <c r="E7" i="1"/>
  <c r="E8" i="1"/>
  <c r="E9" i="1"/>
  <c r="E10" i="1"/>
  <c r="E11" i="1"/>
  <c r="E2" i="1"/>
  <c r="F2" i="1" s="1"/>
  <c r="G2" i="1" s="1"/>
  <c r="H2" i="1" s="1"/>
  <c r="G6" i="1" l="1"/>
  <c r="G9" i="1"/>
  <c r="H9" i="1" s="1"/>
  <c r="F8" i="1"/>
  <c r="G8" i="1" s="1"/>
  <c r="H8" i="1" s="1"/>
  <c r="F7" i="1"/>
  <c r="G7" i="1" s="1"/>
  <c r="H7" i="1" s="1"/>
  <c r="F9" i="1"/>
  <c r="F6" i="1"/>
</calcChain>
</file>

<file path=xl/sharedStrings.xml><?xml version="1.0" encoding="utf-8"?>
<sst xmlns="http://schemas.openxmlformats.org/spreadsheetml/2006/main" count="24" uniqueCount="22">
  <si>
    <t>Fecha</t>
  </si>
  <si>
    <t>Producto</t>
  </si>
  <si>
    <t>Precio Unitario</t>
  </si>
  <si>
    <t>Cantidad Vendida</t>
  </si>
  <si>
    <t>Total Ventas</t>
  </si>
  <si>
    <t>Total Descuento</t>
  </si>
  <si>
    <t>Ventas Netas</t>
  </si>
  <si>
    <t>Estado de Venta</t>
  </si>
  <si>
    <t>Leche La Serenísima 1L</t>
  </si>
  <si>
    <t>Pan Lactal Bimbo</t>
  </si>
  <si>
    <t>Coca-Cola 2,25L</t>
  </si>
  <si>
    <t>Arroz Gallo Oro 1Kg</t>
  </si>
  <si>
    <t>Aceite Natura 900ml</t>
  </si>
  <si>
    <t>Yerba Mate Playadito 1Kg</t>
  </si>
  <si>
    <t>Fideos Matarazzo 500g</t>
  </si>
  <si>
    <t>Azúcar Ledesma 1Kg</t>
  </si>
  <si>
    <t>Galletitas Oreo 117g</t>
  </si>
  <si>
    <t>Detergente Magistral 750ml</t>
  </si>
  <si>
    <t xml:space="preserve">PRODUCTO MAS VENDIDO </t>
  </si>
  <si>
    <t>PROMEDIO DE VENTAS</t>
  </si>
  <si>
    <t>VENTAS POR FECHA</t>
  </si>
  <si>
    <t>incompleto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</si>
</sst>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wrapText="1"/>
    </xf>
    <xf numFmtId="14" fontId="0" fillId="2" borderId="0" xfId="0" applyNumberFormat="1" applyFill="1" applyAlignment="1">
      <alignment horizontal="center"/>
    </xf>
    <xf numFmtId="0" fontId="0" fillId="2" borderId="0" xfId="0" applyFill="1" applyAlignment="1">
      <alignment horizontal="center" wrapText="1"/>
    </xf>
    <xf numFmtId="0" fontId="0" fillId="2" borderId="0" xfId="0" applyFill="1" applyAlignment="1">
      <alignment horizontal="center"/>
    </xf>
    <xf numFmtId="1" fontId="0" fillId="2" borderId="0" xfId="0" applyNumberFormat="1" applyFill="1" applyAlignment="1">
      <alignment horizontal="center"/>
    </xf>
    <xf numFmtId="9" fontId="0" fillId="2" borderId="0" xfId="0" applyNumberFormat="1" applyFill="1"/>
    <xf numFmtId="0" fontId="0" fillId="3" borderId="0" xfId="0" applyFill="1" applyAlignment="1">
      <alignment horizontal="center"/>
    </xf>
    <xf numFmtId="0" fontId="0" fillId="3" borderId="0" xfId="0" applyFill="1"/>
    <xf numFmtId="0" fontId="0" fillId="4" borderId="0" xfId="0" applyFill="1"/>
    <xf numFmtId="1" fontId="0" fillId="4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4"/>
  <sheetViews>
    <sheetView tabSelected="1" workbookViewId="0">
      <selection activeCell="C12" sqref="C12"/>
    </sheetView>
  </sheetViews>
  <sheetFormatPr baseColWidth="10" defaultColWidth="9.140625" defaultRowHeight="15" x14ac:dyDescent="0.25"/>
  <cols>
    <col min="1" max="1" width="24.42578125" customWidth="1"/>
    <col min="2" max="2" width="18" customWidth="1"/>
    <col min="3" max="3" width="23.5703125" customWidth="1"/>
    <col min="4" max="4" width="22.7109375" customWidth="1"/>
    <col min="5" max="5" width="15.7109375" customWidth="1"/>
    <col min="6" max="6" width="19.140625" customWidth="1"/>
    <col min="7" max="7" width="13.5703125" customWidth="1"/>
    <col min="8" max="8" width="18.7109375" customWidth="1"/>
  </cols>
  <sheetData>
    <row r="1" spans="1:13" x14ac:dyDescent="0.25">
      <c r="A1" s="2" t="s">
        <v>0</v>
      </c>
      <c r="B1" s="3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13" ht="30" x14ac:dyDescent="0.25">
      <c r="A2" s="4">
        <v>45689</v>
      </c>
      <c r="B2" s="5" t="s">
        <v>8</v>
      </c>
      <c r="C2" s="6">
        <v>1200</v>
      </c>
      <c r="D2" s="6">
        <v>35</v>
      </c>
      <c r="E2" s="6">
        <f>C2*D2</f>
        <v>42000</v>
      </c>
      <c r="F2" s="7">
        <f>E2*$M$9</f>
        <v>2940.0000000000005</v>
      </c>
      <c r="G2" s="7">
        <f>E2-F2</f>
        <v>39060</v>
      </c>
      <c r="H2" s="6" t="str">
        <f>IF(AND(G2&gt;1000,D2&gt;15),"Completa","")</f>
        <v>Completa</v>
      </c>
    </row>
    <row r="3" spans="1:13" x14ac:dyDescent="0.25">
      <c r="A3" s="4">
        <v>45690</v>
      </c>
      <c r="B3" s="5" t="s">
        <v>9</v>
      </c>
      <c r="C3" s="6">
        <v>2100</v>
      </c>
      <c r="D3" s="6">
        <v>18</v>
      </c>
      <c r="E3" s="6">
        <f t="shared" ref="E3:E11" si="0">C3*D3</f>
        <v>37800</v>
      </c>
      <c r="F3" s="7">
        <f t="shared" ref="F3:F11" si="1">E3*$M$9</f>
        <v>2646.0000000000005</v>
      </c>
      <c r="G3" s="7">
        <f t="shared" ref="G3:G11" si="2">E3-F3</f>
        <v>35154</v>
      </c>
      <c r="H3" s="6" t="str">
        <f t="shared" ref="H3:H11" si="3">IF(AND(G3&gt;1000,D3&gt;15),"Completa","")</f>
        <v>Completa</v>
      </c>
    </row>
    <row r="4" spans="1:13" x14ac:dyDescent="0.25">
      <c r="A4" s="4">
        <v>45691</v>
      </c>
      <c r="B4" s="5" t="s">
        <v>10</v>
      </c>
      <c r="C4" s="6">
        <v>2600</v>
      </c>
      <c r="D4" s="6">
        <v>22</v>
      </c>
      <c r="E4" s="6">
        <f t="shared" si="0"/>
        <v>57200</v>
      </c>
      <c r="F4" s="7">
        <f t="shared" si="1"/>
        <v>4004.0000000000005</v>
      </c>
      <c r="G4" s="7">
        <f t="shared" si="2"/>
        <v>53196</v>
      </c>
      <c r="H4" s="6" t="str">
        <f t="shared" si="3"/>
        <v>Completa</v>
      </c>
    </row>
    <row r="5" spans="1:13" ht="30" x14ac:dyDescent="0.25">
      <c r="A5" s="4">
        <v>45692</v>
      </c>
      <c r="B5" s="5" t="s">
        <v>11</v>
      </c>
      <c r="C5" s="6">
        <v>1800</v>
      </c>
      <c r="D5" s="6">
        <v>15</v>
      </c>
      <c r="E5" s="6">
        <f t="shared" si="0"/>
        <v>27000</v>
      </c>
      <c r="F5" s="7">
        <f t="shared" si="1"/>
        <v>1890.0000000000002</v>
      </c>
      <c r="G5" s="7">
        <f t="shared" si="2"/>
        <v>25110</v>
      </c>
      <c r="H5" s="6" t="s">
        <v>21</v>
      </c>
    </row>
    <row r="6" spans="1:13" ht="30" x14ac:dyDescent="0.25">
      <c r="A6" s="4">
        <v>45693</v>
      </c>
      <c r="B6" s="5" t="s">
        <v>12</v>
      </c>
      <c r="C6" s="6">
        <v>4200</v>
      </c>
      <c r="D6" s="6">
        <v>12</v>
      </c>
      <c r="E6" s="6">
        <f t="shared" si="0"/>
        <v>50400</v>
      </c>
      <c r="F6" s="7">
        <f t="shared" si="1"/>
        <v>3528.0000000000005</v>
      </c>
      <c r="G6" s="7">
        <f t="shared" si="2"/>
        <v>46872</v>
      </c>
      <c r="H6" s="6" t="s">
        <v>21</v>
      </c>
    </row>
    <row r="7" spans="1:13" ht="30" x14ac:dyDescent="0.25">
      <c r="A7" s="4">
        <v>45694</v>
      </c>
      <c r="B7" s="5" t="s">
        <v>13</v>
      </c>
      <c r="C7" s="6">
        <v>3900</v>
      </c>
      <c r="D7" s="6">
        <v>20</v>
      </c>
      <c r="E7" s="6">
        <f t="shared" si="0"/>
        <v>78000</v>
      </c>
      <c r="F7" s="7">
        <f t="shared" si="1"/>
        <v>5460.0000000000009</v>
      </c>
      <c r="G7" s="7">
        <f t="shared" si="2"/>
        <v>72540</v>
      </c>
      <c r="H7" s="6" t="str">
        <f t="shared" si="3"/>
        <v>Completa</v>
      </c>
    </row>
    <row r="8" spans="1:13" ht="30" x14ac:dyDescent="0.25">
      <c r="A8" s="4">
        <v>45695</v>
      </c>
      <c r="B8" s="5" t="s">
        <v>14</v>
      </c>
      <c r="C8" s="6">
        <v>1300</v>
      </c>
      <c r="D8" s="6">
        <v>25</v>
      </c>
      <c r="E8" s="6">
        <f t="shared" si="0"/>
        <v>32500</v>
      </c>
      <c r="F8" s="7">
        <f t="shared" si="1"/>
        <v>2275</v>
      </c>
      <c r="G8" s="7">
        <f t="shared" si="2"/>
        <v>30225</v>
      </c>
      <c r="H8" s="6" t="str">
        <f t="shared" si="3"/>
        <v>Completa</v>
      </c>
    </row>
    <row r="9" spans="1:13" ht="30" x14ac:dyDescent="0.25">
      <c r="A9" s="4">
        <v>45696</v>
      </c>
      <c r="B9" s="5" t="s">
        <v>15</v>
      </c>
      <c r="C9" s="6">
        <v>1600</v>
      </c>
      <c r="D9" s="6">
        <v>30</v>
      </c>
      <c r="E9" s="6">
        <f t="shared" si="0"/>
        <v>48000</v>
      </c>
      <c r="F9" s="7">
        <f t="shared" si="1"/>
        <v>3360.0000000000005</v>
      </c>
      <c r="G9" s="7">
        <f t="shared" si="2"/>
        <v>44640</v>
      </c>
      <c r="H9" s="6" t="str">
        <f t="shared" si="3"/>
        <v>Completa</v>
      </c>
      <c r="M9" s="8">
        <v>7.0000000000000007E-2</v>
      </c>
    </row>
    <row r="10" spans="1:13" ht="30" x14ac:dyDescent="0.25">
      <c r="A10" s="4">
        <v>45697</v>
      </c>
      <c r="B10" s="5" t="s">
        <v>16</v>
      </c>
      <c r="C10" s="6">
        <v>1500</v>
      </c>
      <c r="D10" s="6">
        <v>17</v>
      </c>
      <c r="E10" s="6">
        <f t="shared" si="0"/>
        <v>25500</v>
      </c>
      <c r="F10" s="7">
        <f t="shared" si="1"/>
        <v>1785.0000000000002</v>
      </c>
      <c r="G10" s="7">
        <f t="shared" si="2"/>
        <v>23715</v>
      </c>
      <c r="H10" s="6" t="str">
        <f t="shared" si="3"/>
        <v>Completa</v>
      </c>
    </row>
    <row r="11" spans="1:13" ht="30" x14ac:dyDescent="0.25">
      <c r="A11" s="4">
        <v>45698</v>
      </c>
      <c r="B11" s="5" t="s">
        <v>17</v>
      </c>
      <c r="C11" s="6">
        <v>2800</v>
      </c>
      <c r="D11" s="6">
        <v>10</v>
      </c>
      <c r="E11" s="6">
        <f t="shared" si="0"/>
        <v>28000</v>
      </c>
      <c r="F11" s="7">
        <f t="shared" si="1"/>
        <v>1960.0000000000002</v>
      </c>
      <c r="G11" s="7">
        <f t="shared" si="2"/>
        <v>26040</v>
      </c>
      <c r="H11" s="6" t="s">
        <v>21</v>
      </c>
    </row>
    <row r="12" spans="1:13" ht="47.25" customHeight="1" x14ac:dyDescent="0.25">
      <c r="A12" s="9" t="s">
        <v>18</v>
      </c>
      <c r="B12" s="11">
        <f>MAX(D2:D11)</f>
        <v>35</v>
      </c>
      <c r="C12" s="1"/>
      <c r="D12" s="1"/>
      <c r="E12" s="1"/>
      <c r="F12" s="1"/>
      <c r="G12" s="1"/>
      <c r="H12" s="1"/>
    </row>
    <row r="13" spans="1:13" ht="36" customHeight="1" x14ac:dyDescent="0.25">
      <c r="A13" s="10" t="s">
        <v>19</v>
      </c>
      <c r="B13" s="12">
        <f>AVERAGE(G2:G11)</f>
        <v>39655.199999999997</v>
      </c>
    </row>
    <row r="14" spans="1:13" ht="48.75" customHeight="1" x14ac:dyDescent="0.25">
      <c r="A14" s="10" t="s">
        <v>20</v>
      </c>
      <c r="B14" s="11">
        <f>SUMIF(A2:A11,A2,G2:G11)</f>
        <v>39060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Facundo</dc:creator>
  <cp:keywords/>
  <dc:description/>
  <cp:lastModifiedBy>Facundo</cp:lastModifiedBy>
  <cp:revision/>
  <dcterms:created xsi:type="dcterms:W3CDTF">2026-02-07T21:43:44Z</dcterms:created>
  <dcterms:modified xsi:type="dcterms:W3CDTF">2026-02-07T22:57:46Z</dcterms:modified>
  <cp:category/>
  <cp:contentStatus/>
</cp:coreProperties>
</file>