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PU\COMPU 2\IA\"/>
    </mc:Choice>
  </mc:AlternateContent>
  <xr:revisionPtr revIDLastSave="0" documentId="8_{06CE1CC9-3480-4B13-87BF-472C23289303}" xr6:coauthVersionLast="47" xr6:coauthVersionMax="47" xr10:uidLastSave="{00000000-0000-0000-0000-000000000000}"/>
  <bookViews>
    <workbookView xWindow="-110" yWindow="-110" windowWidth="19420" windowHeight="10420" xr2:uid="{3D1E4E4D-4A77-4411-8E5F-CD1B08DBB1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  <c r="G2" i="1"/>
  <c r="H8" i="1"/>
  <c r="H9" i="1"/>
  <c r="H10" i="1"/>
  <c r="H11" i="1"/>
  <c r="H3" i="1"/>
  <c r="H4" i="1"/>
  <c r="H5" i="1"/>
  <c r="H6" i="1"/>
  <c r="H7" i="1"/>
  <c r="H2" i="1"/>
  <c r="G3" i="1"/>
  <c r="G4" i="1"/>
  <c r="G5" i="1"/>
  <c r="G6" i="1"/>
  <c r="G7" i="1"/>
  <c r="G8" i="1"/>
  <c r="G9" i="1"/>
  <c r="G10" i="1"/>
  <c r="G11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<sst xmlns="http://schemas.openxmlformats.org/spreadsheetml/2006/main" count="21" uniqueCount="21">
  <si>
    <t>Producto</t>
  </si>
  <si>
    <t>Precio unitario (ARS)</t>
  </si>
  <si>
    <t>Cantidad vendida</t>
  </si>
  <si>
    <t>Zapatillas running hombre</t>
  </si>
  <si>
    <t>Remera deportiva mujer</t>
  </si>
  <si>
    <t>Short training unisex</t>
  </si>
  <si>
    <t>Zapatillas urbanas mujer</t>
  </si>
  <si>
    <t>Campera deportiva liviana</t>
  </si>
  <si>
    <t>Calza deportiva mujer</t>
  </si>
  <si>
    <t>Medias deportivas pack x3</t>
  </si>
  <si>
    <t>Buzo con capucha unisex</t>
  </si>
  <si>
    <t>Zapatillas training hombre</t>
  </si>
  <si>
    <t>Musculosa deportiva hombre</t>
  </si>
  <si>
    <t xml:space="preserve">Fecha </t>
  </si>
  <si>
    <t>Total Ventas</t>
  </si>
  <si>
    <t>Total Descuentos</t>
  </si>
  <si>
    <t>Estado de Ventas</t>
  </si>
  <si>
    <t>Ventas Netas</t>
  </si>
  <si>
    <t>PRODUCTO MAS VENDIDO</t>
  </si>
  <si>
    <t>PROMEDIO DE VENTAS</t>
  </si>
  <si>
    <t>VENTAS POR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</si>
</sst>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0" fontId="0" fillId="2" borderId="0" xfId="2" applyNumberFormat="1" applyFont="1" applyFill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/>
    <xf numFmtId="44" fontId="0" fillId="0" borderId="1" xfId="1" applyFont="1" applyBorder="1"/>
    <xf numFmtId="44" fontId="0" fillId="0" borderId="1" xfId="1" applyFont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44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D221D-11AC-4EB9-B2AB-1543D3E39221}">
  <dimension ref="A1:M14"/>
  <sheetViews>
    <sheetView tabSelected="1" zoomScaleNormal="100" workbookViewId="0">
      <selection activeCell="K10" sqref="K10"/>
    </sheetView>
  </sheetViews>
  <sheetFormatPr baseColWidth="10" defaultRowHeight="14.5" x14ac:dyDescent="0.35"/>
  <cols>
    <col min="1" max="1" width="18" customWidth="1"/>
    <col min="2" max="2" width="19.453125" customWidth="1"/>
    <col min="3" max="3" width="18.36328125" customWidth="1"/>
    <col min="4" max="4" width="19.08984375" customWidth="1"/>
    <col min="5" max="5" width="14.08984375" bestFit="1" customWidth="1"/>
    <col min="6" max="6" width="11.54296875" bestFit="1" customWidth="1"/>
    <col min="7" max="7" width="16.1796875" customWidth="1"/>
    <col min="10" max="10" width="14.08984375" bestFit="1" customWidth="1"/>
  </cols>
  <sheetData>
    <row r="1" spans="1:13" ht="30" customHeight="1" x14ac:dyDescent="0.35">
      <c r="A1" s="2" t="s">
        <v>13</v>
      </c>
      <c r="B1" s="2" t="s">
        <v>0</v>
      </c>
      <c r="C1" s="2" t="s">
        <v>1</v>
      </c>
      <c r="D1" s="2" t="s">
        <v>2</v>
      </c>
      <c r="E1" s="2" t="s">
        <v>14</v>
      </c>
      <c r="F1" s="2" t="s">
        <v>15</v>
      </c>
      <c r="G1" s="2" t="s">
        <v>17</v>
      </c>
      <c r="H1" s="2" t="s">
        <v>16</v>
      </c>
    </row>
    <row r="2" spans="1:13" ht="29" x14ac:dyDescent="0.35">
      <c r="A2" s="4">
        <v>46059</v>
      </c>
      <c r="B2" s="3" t="s">
        <v>3</v>
      </c>
      <c r="C2" s="7">
        <v>89500</v>
      </c>
      <c r="D2" s="3">
        <v>12</v>
      </c>
      <c r="E2" s="6">
        <f>C2*D2</f>
        <v>1074000</v>
      </c>
      <c r="F2" s="6">
        <f>E2*$M$9</f>
        <v>75180</v>
      </c>
      <c r="G2" s="6">
        <f>E2-F2</f>
        <v>998820</v>
      </c>
      <c r="H2" s="5" t="str">
        <f>IF(AND(G2&gt;1000,D2&gt;15),"COMPLETO","")</f>
        <v/>
      </c>
    </row>
    <row r="3" spans="1:13" ht="29" x14ac:dyDescent="0.35">
      <c r="A3" s="4">
        <v>46059</v>
      </c>
      <c r="B3" s="3" t="s">
        <v>4</v>
      </c>
      <c r="C3" s="7">
        <v>24800</v>
      </c>
      <c r="D3" s="3">
        <v>18</v>
      </c>
      <c r="E3" s="6">
        <f t="shared" ref="E3:E11" si="0">C3*D3</f>
        <v>446400</v>
      </c>
      <c r="F3" s="6">
        <f t="shared" ref="F3:F11" si="1">E3*$M$9</f>
        <v>31248.000000000004</v>
      </c>
      <c r="G3" s="6">
        <f t="shared" ref="G3:G11" si="2">E3-F3</f>
        <v>415152</v>
      </c>
      <c r="H3" s="5" t="str">
        <f t="shared" ref="H3:H11" si="3">IF(AND(G3&gt;1000,D3&gt;15),"COMPLETO","")</f>
        <v>COMPLETO</v>
      </c>
    </row>
    <row r="4" spans="1:13" x14ac:dyDescent="0.35">
      <c r="A4" s="4">
        <v>46059</v>
      </c>
      <c r="B4" s="3" t="s">
        <v>5</v>
      </c>
      <c r="C4" s="7">
        <v>19600</v>
      </c>
      <c r="D4" s="3">
        <v>15</v>
      </c>
      <c r="E4" s="6">
        <f t="shared" si="0"/>
        <v>294000</v>
      </c>
      <c r="F4" s="6">
        <f t="shared" si="1"/>
        <v>20580.000000000004</v>
      </c>
      <c r="G4" s="6">
        <f t="shared" si="2"/>
        <v>273420</v>
      </c>
      <c r="H4" s="5" t="str">
        <f t="shared" si="3"/>
        <v/>
      </c>
    </row>
    <row r="5" spans="1:13" ht="29" x14ac:dyDescent="0.35">
      <c r="A5" s="4">
        <v>46059</v>
      </c>
      <c r="B5" s="3" t="s">
        <v>6</v>
      </c>
      <c r="C5" s="7">
        <v>76300</v>
      </c>
      <c r="D5" s="3">
        <v>9</v>
      </c>
      <c r="E5" s="6">
        <f t="shared" si="0"/>
        <v>686700</v>
      </c>
      <c r="F5" s="6">
        <f t="shared" si="1"/>
        <v>48069.000000000007</v>
      </c>
      <c r="G5" s="6">
        <f t="shared" si="2"/>
        <v>638631</v>
      </c>
      <c r="H5" s="5" t="str">
        <f t="shared" si="3"/>
        <v/>
      </c>
    </row>
    <row r="6" spans="1:13" ht="29" x14ac:dyDescent="0.35">
      <c r="A6" s="4">
        <v>46059</v>
      </c>
      <c r="B6" s="3" t="s">
        <v>7</v>
      </c>
      <c r="C6" s="7">
        <v>58900</v>
      </c>
      <c r="D6" s="3">
        <v>7</v>
      </c>
      <c r="E6" s="6">
        <f t="shared" si="0"/>
        <v>412300</v>
      </c>
      <c r="F6" s="6">
        <f t="shared" si="1"/>
        <v>28861.000000000004</v>
      </c>
      <c r="G6" s="6">
        <f t="shared" si="2"/>
        <v>383439</v>
      </c>
      <c r="H6" s="5" t="str">
        <f t="shared" si="3"/>
        <v/>
      </c>
      <c r="J6" s="9"/>
    </row>
    <row r="7" spans="1:13" x14ac:dyDescent="0.35">
      <c r="A7" s="4">
        <v>46060</v>
      </c>
      <c r="B7" s="3" t="s">
        <v>8</v>
      </c>
      <c r="C7" s="7">
        <v>27400</v>
      </c>
      <c r="D7" s="3">
        <v>16</v>
      </c>
      <c r="E7" s="6">
        <f t="shared" si="0"/>
        <v>438400</v>
      </c>
      <c r="F7" s="6">
        <f t="shared" si="1"/>
        <v>30688.000000000004</v>
      </c>
      <c r="G7" s="6">
        <f t="shared" si="2"/>
        <v>407712</v>
      </c>
      <c r="H7" s="5" t="str">
        <f t="shared" si="3"/>
        <v>COMPLETO</v>
      </c>
    </row>
    <row r="8" spans="1:13" ht="29" x14ac:dyDescent="0.35">
      <c r="A8" s="4">
        <v>46060</v>
      </c>
      <c r="B8" s="3" t="s">
        <v>9</v>
      </c>
      <c r="C8" s="7">
        <v>8900</v>
      </c>
      <c r="D8" s="3">
        <v>25</v>
      </c>
      <c r="E8" s="6">
        <f t="shared" si="0"/>
        <v>222500</v>
      </c>
      <c r="F8" s="6">
        <f t="shared" si="1"/>
        <v>15575.000000000002</v>
      </c>
      <c r="G8" s="6">
        <f t="shared" si="2"/>
        <v>206925</v>
      </c>
      <c r="H8" s="5" t="str">
        <f>IF(AND(G8&gt;1000,D8&gt;15),"COMPLETO","")</f>
        <v>COMPLETO</v>
      </c>
    </row>
    <row r="9" spans="1:13" ht="29" x14ac:dyDescent="0.35">
      <c r="A9" s="4">
        <v>46060</v>
      </c>
      <c r="B9" s="3" t="s">
        <v>10</v>
      </c>
      <c r="C9" s="7">
        <v>46700</v>
      </c>
      <c r="D9" s="3">
        <v>10</v>
      </c>
      <c r="E9" s="6">
        <f t="shared" si="0"/>
        <v>467000</v>
      </c>
      <c r="F9" s="6">
        <f t="shared" si="1"/>
        <v>32690.000000000004</v>
      </c>
      <c r="G9" s="6">
        <f t="shared" si="2"/>
        <v>434310</v>
      </c>
      <c r="H9" s="5" t="str">
        <f t="shared" si="3"/>
        <v/>
      </c>
      <c r="M9" s="1">
        <v>7.0000000000000007E-2</v>
      </c>
    </row>
    <row r="10" spans="1:13" ht="29" x14ac:dyDescent="0.35">
      <c r="A10" s="4">
        <v>46061</v>
      </c>
      <c r="B10" s="3" t="s">
        <v>11</v>
      </c>
      <c r="C10" s="7">
        <v>92100</v>
      </c>
      <c r="D10" s="3">
        <v>8</v>
      </c>
      <c r="E10" s="6">
        <f t="shared" si="0"/>
        <v>736800</v>
      </c>
      <c r="F10" s="6">
        <f t="shared" si="1"/>
        <v>51576.000000000007</v>
      </c>
      <c r="G10" s="6">
        <f t="shared" si="2"/>
        <v>685224</v>
      </c>
      <c r="H10" s="5" t="str">
        <f t="shared" si="3"/>
        <v/>
      </c>
    </row>
    <row r="11" spans="1:13" ht="29" x14ac:dyDescent="0.35">
      <c r="A11" s="4">
        <v>46061</v>
      </c>
      <c r="B11" s="3" t="s">
        <v>12</v>
      </c>
      <c r="C11" s="7">
        <v>21300</v>
      </c>
      <c r="D11" s="3">
        <v>14</v>
      </c>
      <c r="E11" s="6">
        <f t="shared" si="0"/>
        <v>298200</v>
      </c>
      <c r="F11" s="6">
        <f t="shared" si="1"/>
        <v>20874.000000000004</v>
      </c>
      <c r="G11" s="6">
        <f t="shared" si="2"/>
        <v>277326</v>
      </c>
      <c r="H11" s="5" t="str">
        <f t="shared" si="3"/>
        <v/>
      </c>
    </row>
    <row r="12" spans="1:13" x14ac:dyDescent="0.35">
      <c r="A12" s="8" t="s">
        <v>18</v>
      </c>
      <c r="B12" s="8"/>
      <c r="C12" s="5">
        <f>MAX(D2:D11)</f>
        <v>25</v>
      </c>
    </row>
    <row r="13" spans="1:13" x14ac:dyDescent="0.35">
      <c r="A13" s="8" t="s">
        <v>19</v>
      </c>
      <c r="B13" s="8"/>
      <c r="C13" s="6">
        <f>AVERAGE(E2:E11)</f>
        <v>507630</v>
      </c>
    </row>
    <row r="14" spans="1:13" x14ac:dyDescent="0.35">
      <c r="A14" s="8" t="s">
        <v>20</v>
      </c>
      <c r="B14" s="8"/>
      <c r="C14" s="6">
        <f>SUMIF(A2:A11,A2,G2:G11)</f>
        <v>2709462</v>
      </c>
    </row>
  </sheetData>
  <mergeCells count="3">
    <mergeCell ref="A12:B12"/>
    <mergeCell ref="A13:B13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LAURA RODRIGUEZ</dc:creator>
  <cp:lastModifiedBy>MARIA LAURA RODRIGUEZ</cp:lastModifiedBy>
  <dcterms:created xsi:type="dcterms:W3CDTF">2026-02-06T21:05:25Z</dcterms:created>
  <dcterms:modified xsi:type="dcterms:W3CDTF">2026-02-07T02:24:45Z</dcterms:modified>
</cp:coreProperties>
</file>