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155f7decd1410b/Documentos/UNLaM/Compu II/02 - Inteligencia Artificial/TPs/"/>
    </mc:Choice>
  </mc:AlternateContent>
  <xr:revisionPtr revIDLastSave="84" documentId="8_{33D4890C-5CC9-4659-B1FC-E69B393A1DA0}" xr6:coauthVersionLast="47" xr6:coauthVersionMax="47" xr10:uidLastSave="{123B4346-7C3F-47A9-91BC-D597285B896E}"/>
  <bookViews>
    <workbookView xWindow="-120" yWindow="-120" windowWidth="29040" windowHeight="15720" xr2:uid="{D0AA0286-332B-4B55-B41B-5B475580E0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  <c r="H3" i="1"/>
  <c r="H4" i="1"/>
  <c r="H5" i="1"/>
  <c r="H6" i="1"/>
  <c r="H7" i="1"/>
  <c r="H8" i="1"/>
  <c r="H9" i="1"/>
  <c r="H10" i="1"/>
  <c r="H11" i="1"/>
  <c r="G3" i="1"/>
  <c r="G4" i="1"/>
  <c r="G5" i="1"/>
  <c r="G6" i="1"/>
  <c r="G7" i="1"/>
  <c r="G8" i="1"/>
  <c r="G9" i="1"/>
  <c r="G10" i="1"/>
  <c r="G11" i="1"/>
  <c r="F3" i="1"/>
  <c r="F4" i="1"/>
  <c r="F5" i="1"/>
  <c r="F6" i="1"/>
  <c r="F7" i="1"/>
  <c r="F8" i="1"/>
  <c r="F9" i="1"/>
  <c r="F10" i="1"/>
  <c r="F11" i="1"/>
  <c r="E3" i="1"/>
  <c r="E4" i="1"/>
  <c r="E5" i="1"/>
  <c r="E6" i="1"/>
  <c r="E7" i="1"/>
  <c r="E8" i="1"/>
  <c r="E9" i="1"/>
  <c r="E10" i="1"/>
  <c r="E11" i="1"/>
  <c r="E2" i="1"/>
  <c r="F2" i="1" l="1"/>
  <c r="G2" i="1" s="1"/>
  <c r="H2" i="1" s="1"/>
</calcChain>
</file>

<file path=xl/sharedStrings.xml><?xml version="1.0" encoding="utf-8"?>
<sst xmlns="http://schemas.openxmlformats.org/spreadsheetml/2006/main" count="22" uniqueCount="22">
  <si>
    <t>Fecha</t>
  </si>
  <si>
    <t>Producto</t>
  </si>
  <si>
    <t>Precio Unitario</t>
  </si>
  <si>
    <t>Cantidad Vendida</t>
  </si>
  <si>
    <t>Zapatillas running Nike</t>
  </si>
  <si>
    <t>Pelota de fútbol Adidas</t>
  </si>
  <si>
    <t>Remera deportiva Puma</t>
  </si>
  <si>
    <t>Short deportivo Under Armour</t>
  </si>
  <si>
    <t>Botines de fútbol Adidas</t>
  </si>
  <si>
    <t>Mochila deportiva Nike</t>
  </si>
  <si>
    <t>Medias deportivas (par)</t>
  </si>
  <si>
    <t>Campera deportiva Reebok</t>
  </si>
  <si>
    <t>Guantes de entrenamiento</t>
  </si>
  <si>
    <t>Botella térmica deportiva</t>
  </si>
  <si>
    <t>Total Ventas</t>
  </si>
  <si>
    <t>Total Descuento</t>
  </si>
  <si>
    <t>Ventas Netas</t>
  </si>
  <si>
    <t>Estado de Venta</t>
  </si>
  <si>
    <t>Descuento a Aplicar</t>
  </si>
  <si>
    <t>Producto más vendido</t>
  </si>
  <si>
    <t>Promedio de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</si>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</sst>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9" formatCode="dd/mm/yy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1" xfId="0" applyBorder="1"/>
    <xf numFmtId="0" fontId="1" fillId="0" borderId="2" xfId="0" applyFont="1" applyBorder="1" applyAlignment="1">
      <alignment horizontal="center" wrapText="1"/>
    </xf>
    <xf numFmtId="9" fontId="0" fillId="0" borderId="3" xfId="0" applyNumberFormat="1" applyBorder="1" applyAlignment="1">
      <alignment horizontal="center" vertical="center"/>
    </xf>
    <xf numFmtId="44" fontId="0" fillId="0" borderId="1" xfId="0" applyNumberFormat="1" applyBorder="1" applyAlignment="1">
      <alignment vertical="center"/>
    </xf>
    <xf numFmtId="4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D5A8-4EE1-4E2F-8987-2B98060C6AF1}">
  <dimension ref="A1:M14"/>
  <sheetViews>
    <sheetView tabSelected="1" workbookViewId="0">
      <selection activeCell="E14" sqref="E14"/>
    </sheetView>
  </sheetViews>
  <sheetFormatPr baseColWidth="10" defaultRowHeight="15" x14ac:dyDescent="0.25"/>
  <cols>
    <col min="1" max="1" width="14.7109375" customWidth="1"/>
    <col min="2" max="2" width="20.7109375" customWidth="1"/>
    <col min="3" max="8" width="15.7109375" customWidth="1"/>
  </cols>
  <sheetData>
    <row r="1" spans="1:13" ht="30" customHeight="1" x14ac:dyDescent="0.25">
      <c r="A1" s="10" t="s">
        <v>0</v>
      </c>
      <c r="B1" s="10" t="s">
        <v>1</v>
      </c>
      <c r="C1" s="10" t="s">
        <v>2</v>
      </c>
      <c r="D1" s="11" t="s">
        <v>3</v>
      </c>
      <c r="E1" s="12" t="s">
        <v>14</v>
      </c>
      <c r="F1" s="12" t="s">
        <v>15</v>
      </c>
      <c r="G1" s="12" t="s">
        <v>16</v>
      </c>
      <c r="H1" s="12" t="s">
        <v>17</v>
      </c>
    </row>
    <row r="2" spans="1:13" ht="30" x14ac:dyDescent="0.25">
      <c r="A2" s="1">
        <v>46025</v>
      </c>
      <c r="B2" s="2" t="s">
        <v>4</v>
      </c>
      <c r="C2" s="3">
        <v>180000</v>
      </c>
      <c r="D2" s="2">
        <v>14</v>
      </c>
      <c r="E2" s="7">
        <f>C2*D2</f>
        <v>2520000</v>
      </c>
      <c r="F2" s="7">
        <f>E2*$M$9</f>
        <v>176400.00000000003</v>
      </c>
      <c r="G2" s="7">
        <f>E2-F2</f>
        <v>2343600</v>
      </c>
      <c r="H2" s="9" t="str">
        <f>IF(AND(G2&gt;1000,D2&gt;15),"Completa","")</f>
        <v/>
      </c>
    </row>
    <row r="3" spans="1:13" ht="30" x14ac:dyDescent="0.25">
      <c r="A3" s="1">
        <v>46027</v>
      </c>
      <c r="B3" s="2" t="s">
        <v>5</v>
      </c>
      <c r="C3" s="3">
        <v>55000</v>
      </c>
      <c r="D3" s="2">
        <v>47</v>
      </c>
      <c r="E3" s="7">
        <f t="shared" ref="E3:E11" si="0">C3*D3</f>
        <v>2585000</v>
      </c>
      <c r="F3" s="7">
        <f t="shared" ref="F3:F11" si="1">E3*$M$9</f>
        <v>180950.00000000003</v>
      </c>
      <c r="G3" s="7">
        <f t="shared" ref="G3:G11" si="2">E3-F3</f>
        <v>2404050</v>
      </c>
      <c r="H3" s="9" t="str">
        <f t="shared" ref="H3:H11" si="3">IF(AND(G3&gt;1000,D3&gt;15),"Completa","")</f>
        <v>Completa</v>
      </c>
    </row>
    <row r="4" spans="1:13" ht="30" x14ac:dyDescent="0.25">
      <c r="A4" s="1">
        <v>46029</v>
      </c>
      <c r="B4" s="2" t="s">
        <v>6</v>
      </c>
      <c r="C4" s="3">
        <v>42000</v>
      </c>
      <c r="D4" s="2">
        <v>60</v>
      </c>
      <c r="E4" s="7">
        <f t="shared" si="0"/>
        <v>2520000</v>
      </c>
      <c r="F4" s="7">
        <f t="shared" si="1"/>
        <v>176400.00000000003</v>
      </c>
      <c r="G4" s="7">
        <f t="shared" si="2"/>
        <v>2343600</v>
      </c>
      <c r="H4" s="9" t="str">
        <f t="shared" si="3"/>
        <v>Completa</v>
      </c>
    </row>
    <row r="5" spans="1:13" ht="30" x14ac:dyDescent="0.25">
      <c r="A5" s="1">
        <v>46031</v>
      </c>
      <c r="B5" s="2" t="s">
        <v>7</v>
      </c>
      <c r="C5" s="3">
        <v>38000</v>
      </c>
      <c r="D5" s="2">
        <v>44</v>
      </c>
      <c r="E5" s="7">
        <f t="shared" si="0"/>
        <v>1672000</v>
      </c>
      <c r="F5" s="7">
        <f t="shared" si="1"/>
        <v>117040.00000000001</v>
      </c>
      <c r="G5" s="7">
        <f t="shared" si="2"/>
        <v>1554960</v>
      </c>
      <c r="H5" s="9" t="str">
        <f t="shared" si="3"/>
        <v>Completa</v>
      </c>
    </row>
    <row r="6" spans="1:13" ht="30" x14ac:dyDescent="0.25">
      <c r="A6" s="1">
        <v>46033</v>
      </c>
      <c r="B6" s="2" t="s">
        <v>8</v>
      </c>
      <c r="C6" s="3">
        <v>210000</v>
      </c>
      <c r="D6" s="2">
        <v>49</v>
      </c>
      <c r="E6" s="7">
        <f t="shared" si="0"/>
        <v>10290000</v>
      </c>
      <c r="F6" s="7">
        <f t="shared" si="1"/>
        <v>720300.00000000012</v>
      </c>
      <c r="G6" s="7">
        <f t="shared" si="2"/>
        <v>9569700</v>
      </c>
      <c r="H6" s="9" t="str">
        <f t="shared" si="3"/>
        <v>Completa</v>
      </c>
    </row>
    <row r="7" spans="1:13" ht="30.75" thickBot="1" x14ac:dyDescent="0.3">
      <c r="A7" s="1">
        <v>46036</v>
      </c>
      <c r="B7" s="2" t="s">
        <v>9</v>
      </c>
      <c r="C7" s="3">
        <v>95000</v>
      </c>
      <c r="D7" s="2">
        <v>41</v>
      </c>
      <c r="E7" s="7">
        <f t="shared" si="0"/>
        <v>3895000</v>
      </c>
      <c r="F7" s="7">
        <f t="shared" si="1"/>
        <v>272650</v>
      </c>
      <c r="G7" s="7">
        <f t="shared" si="2"/>
        <v>3622350</v>
      </c>
      <c r="H7" s="9" t="str">
        <f t="shared" si="3"/>
        <v>Completa</v>
      </c>
    </row>
    <row r="8" spans="1:13" ht="30" x14ac:dyDescent="0.25">
      <c r="A8" s="1">
        <v>46025</v>
      </c>
      <c r="B8" s="2" t="s">
        <v>10</v>
      </c>
      <c r="C8" s="3">
        <v>12000</v>
      </c>
      <c r="D8" s="2">
        <v>58</v>
      </c>
      <c r="E8" s="7">
        <f t="shared" si="0"/>
        <v>696000</v>
      </c>
      <c r="F8" s="7">
        <f t="shared" si="1"/>
        <v>48720.000000000007</v>
      </c>
      <c r="G8" s="7">
        <f t="shared" si="2"/>
        <v>647280</v>
      </c>
      <c r="H8" s="9" t="str">
        <f t="shared" si="3"/>
        <v>Completa</v>
      </c>
      <c r="M8" s="5" t="s">
        <v>18</v>
      </c>
    </row>
    <row r="9" spans="1:13" ht="30.75" thickBot="1" x14ac:dyDescent="0.3">
      <c r="A9" s="1">
        <v>46042</v>
      </c>
      <c r="B9" s="2" t="s">
        <v>11</v>
      </c>
      <c r="C9" s="3">
        <v>130000</v>
      </c>
      <c r="D9" s="2">
        <v>45</v>
      </c>
      <c r="E9" s="7">
        <f t="shared" si="0"/>
        <v>5850000</v>
      </c>
      <c r="F9" s="7">
        <f t="shared" si="1"/>
        <v>409500.00000000006</v>
      </c>
      <c r="G9" s="7">
        <f t="shared" si="2"/>
        <v>5440500</v>
      </c>
      <c r="H9" s="9" t="str">
        <f t="shared" si="3"/>
        <v>Completa</v>
      </c>
      <c r="M9" s="6">
        <v>7.0000000000000007E-2</v>
      </c>
    </row>
    <row r="10" spans="1:13" ht="30" x14ac:dyDescent="0.25">
      <c r="A10" s="1">
        <v>46025</v>
      </c>
      <c r="B10" s="2" t="s">
        <v>12</v>
      </c>
      <c r="C10" s="3">
        <v>28000</v>
      </c>
      <c r="D10" s="2">
        <v>12</v>
      </c>
      <c r="E10" s="7">
        <f t="shared" si="0"/>
        <v>336000</v>
      </c>
      <c r="F10" s="7">
        <f t="shared" si="1"/>
        <v>23520.000000000004</v>
      </c>
      <c r="G10" s="7">
        <f t="shared" si="2"/>
        <v>312480</v>
      </c>
      <c r="H10" s="9" t="str">
        <f t="shared" si="3"/>
        <v/>
      </c>
    </row>
    <row r="11" spans="1:13" ht="30" x14ac:dyDescent="0.25">
      <c r="A11" s="1">
        <v>46050</v>
      </c>
      <c r="B11" s="2" t="s">
        <v>13</v>
      </c>
      <c r="C11" s="3">
        <v>25000</v>
      </c>
      <c r="D11" s="2">
        <v>50</v>
      </c>
      <c r="E11" s="7">
        <f t="shared" si="0"/>
        <v>1250000</v>
      </c>
      <c r="F11" s="7">
        <f t="shared" si="1"/>
        <v>87500.000000000015</v>
      </c>
      <c r="G11" s="7">
        <f t="shared" si="2"/>
        <v>1162500</v>
      </c>
      <c r="H11" s="9" t="str">
        <f t="shared" si="3"/>
        <v>Completa</v>
      </c>
    </row>
    <row r="12" spans="1:13" ht="15.75" x14ac:dyDescent="0.25">
      <c r="A12" s="13" t="s">
        <v>19</v>
      </c>
      <c r="B12" s="4"/>
      <c r="C12" s="14">
        <f>MAX(D2:D11)</f>
        <v>60</v>
      </c>
    </row>
    <row r="13" spans="1:13" ht="15.75" x14ac:dyDescent="0.25">
      <c r="A13" s="13" t="s">
        <v>20</v>
      </c>
      <c r="B13" s="4"/>
      <c r="C13" s="8">
        <f>AVERAGE(G2:G11)</f>
        <v>2940102</v>
      </c>
    </row>
    <row r="14" spans="1:13" ht="15.75" x14ac:dyDescent="0.25">
      <c r="A14" s="13" t="s">
        <v>21</v>
      </c>
      <c r="B14" s="4"/>
      <c r="C14" s="8">
        <f>SUMIF(A2:A11,A2,G2:G11)</f>
        <v>3303360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Sánchez</dc:creator>
  <cp:lastModifiedBy>Nicolás Sánchez</cp:lastModifiedBy>
  <dcterms:created xsi:type="dcterms:W3CDTF">2026-02-07T03:38:17Z</dcterms:created>
  <dcterms:modified xsi:type="dcterms:W3CDTF">2026-02-07T04:56:15Z</dcterms:modified>
</cp:coreProperties>
</file>