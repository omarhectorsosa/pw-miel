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279F7ED-90B8-4847-8B88-4FD29E7BE2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<sst xmlns="http://schemas.openxmlformats.org/spreadsheetml/2006/main" count="22" uniqueCount="22">
  <si>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</si>
  <si>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</si>
  <si>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</si>
  <si>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</si>
  <si>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</si>
  <si>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</si>
  <si>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</si>
  <si>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</si>
  <si>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Cuaderno A4</t>
  </si>
  <si>
    <t>Lapicera azul</t>
  </si>
  <si>
    <t>Resma de papel</t>
  </si>
  <si>
    <t>Carpeta escolar</t>
  </si>
  <si>
    <t>Corrector líquido</t>
  </si>
  <si>
    <t>Marcador indeleble</t>
  </si>
  <si>
    <t>Calculadora básica</t>
  </si>
  <si>
    <t>Descuento</t>
  </si>
  <si>
    <t>Regla 30 cm</t>
  </si>
  <si>
    <t>Tijera escolar</t>
  </si>
  <si>
    <t>Goma de borrar</t>
  </si>
  <si>
    <t>Producto más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</si>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</sst>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1" xfId="0" applyNumberFormat="1" applyFont="1" applyFill="1" applyBorder="1" applyAlignment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B14" sqref="B14"/>
    </sheetView>
  </sheetViews>
  <sheetFormatPr defaultRowHeight="15"/>
  <cols>
    <col min="1" max="1" width="20.28515625" bestFit="1" customWidth="1"/>
    <col min="2" max="2" width="18" bestFit="1" customWidth="1"/>
    <col min="3" max="3" width="13.85546875" bestFit="1" customWidth="1"/>
    <col min="4" max="4" width="16.28515625" bestFit="1" customWidth="1"/>
    <col min="5" max="5" width="11.7109375" bestFit="1" customWidth="1"/>
    <col min="6" max="6" width="15" bestFit="1" customWidth="1"/>
    <col min="7" max="7" width="12.42578125" bestFit="1" customWidth="1"/>
    <col min="8" max="8" width="15" bestFit="1" customWidth="1"/>
    <col min="13" max="13" width="10.140625" bestFit="1" customWidth="1"/>
  </cols>
  <sheetData>
    <row r="1" spans="1:13" ht="33.7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3">
      <c r="A2" s="2">
        <v>45662</v>
      </c>
      <c r="B2" s="8" t="s">
        <v>8</v>
      </c>
      <c r="C2" s="8">
        <v>3200</v>
      </c>
      <c r="D2" s="8">
        <v>15</v>
      </c>
      <c r="E2" s="3">
        <f>C2*D2</f>
        <v>48000</v>
      </c>
      <c r="F2" s="3">
        <f>E2*$M$9</f>
        <v>3360.0000000000005</v>
      </c>
      <c r="G2" s="3">
        <f>E2-F2</f>
        <v>44640</v>
      </c>
      <c r="H2" s="3" t="str">
        <f>IF(AND(G2&gt;1000,D2&gt;15),"Completa","")</f>
        <v/>
      </c>
    </row>
    <row r="3" spans="1:13">
      <c r="A3" s="2">
        <v>45664</v>
      </c>
      <c r="B3" s="8" t="s">
        <v>9</v>
      </c>
      <c r="C3" s="8">
        <v>750</v>
      </c>
      <c r="D3" s="8">
        <v>40</v>
      </c>
      <c r="E3" s="3">
        <f t="shared" ref="E3:E11" si="0">C3*D3</f>
        <v>30000</v>
      </c>
      <c r="F3" s="3">
        <f t="shared" ref="F3:F11" si="1">E3*$M$9</f>
        <v>2100</v>
      </c>
      <c r="G3" s="3">
        <f t="shared" ref="G3:G11" si="2">E3-F3</f>
        <v>27900</v>
      </c>
      <c r="H3" s="3" t="str">
        <f t="shared" ref="H3:H11" si="3">IF(AND(G3&gt;1000,D3&gt;15),"Completa","")</f>
        <v>Completa</v>
      </c>
    </row>
    <row r="4" spans="1:13">
      <c r="A4" s="2">
        <v>45667</v>
      </c>
      <c r="B4" s="8" t="s">
        <v>10</v>
      </c>
      <c r="C4" s="8">
        <v>8200</v>
      </c>
      <c r="D4" s="8">
        <v>8</v>
      </c>
      <c r="E4" s="3">
        <f t="shared" si="0"/>
        <v>65600</v>
      </c>
      <c r="F4" s="3">
        <f t="shared" si="1"/>
        <v>4592</v>
      </c>
      <c r="G4" s="3">
        <f t="shared" si="2"/>
        <v>61008</v>
      </c>
      <c r="H4" s="3" t="str">
        <f t="shared" si="3"/>
        <v/>
      </c>
    </row>
    <row r="5" spans="1:13">
      <c r="A5" s="2">
        <v>45669</v>
      </c>
      <c r="B5" s="8" t="s">
        <v>11</v>
      </c>
      <c r="C5" s="8">
        <v>4100</v>
      </c>
      <c r="D5" s="8">
        <v>12</v>
      </c>
      <c r="E5" s="3">
        <f t="shared" si="0"/>
        <v>49200</v>
      </c>
      <c r="F5" s="3">
        <f t="shared" si="1"/>
        <v>3444.0000000000005</v>
      </c>
      <c r="G5" s="3">
        <f t="shared" si="2"/>
        <v>45756</v>
      </c>
      <c r="H5" s="3" t="str">
        <f t="shared" si="3"/>
        <v/>
      </c>
    </row>
    <row r="6" spans="1:13">
      <c r="A6" s="2">
        <v>45672</v>
      </c>
      <c r="B6" s="8" t="s">
        <v>12</v>
      </c>
      <c r="C6" s="8">
        <v>2100</v>
      </c>
      <c r="D6" s="8">
        <v>10</v>
      </c>
      <c r="E6" s="3">
        <f t="shared" si="0"/>
        <v>21000</v>
      </c>
      <c r="F6" s="3">
        <f t="shared" si="1"/>
        <v>1470.0000000000002</v>
      </c>
      <c r="G6" s="3">
        <f t="shared" si="2"/>
        <v>19530</v>
      </c>
      <c r="H6" s="3" t="str">
        <f t="shared" si="3"/>
        <v/>
      </c>
    </row>
    <row r="7" spans="1:13">
      <c r="A7" s="2">
        <v>45675</v>
      </c>
      <c r="B7" s="8" t="s">
        <v>13</v>
      </c>
      <c r="C7" s="8">
        <v>1850</v>
      </c>
      <c r="D7" s="8">
        <v>9</v>
      </c>
      <c r="E7" s="3">
        <f t="shared" si="0"/>
        <v>16650</v>
      </c>
      <c r="F7" s="3">
        <f t="shared" si="1"/>
        <v>1165.5</v>
      </c>
      <c r="G7" s="3">
        <f t="shared" si="2"/>
        <v>15484.5</v>
      </c>
      <c r="H7" s="3" t="str">
        <f t="shared" si="3"/>
        <v/>
      </c>
    </row>
    <row r="8" spans="1:13">
      <c r="A8" s="2">
        <v>45677</v>
      </c>
      <c r="B8" s="8" t="s">
        <v>14</v>
      </c>
      <c r="C8" s="8">
        <v>12500</v>
      </c>
      <c r="D8" s="8">
        <v>4</v>
      </c>
      <c r="E8" s="3">
        <f t="shared" si="0"/>
        <v>50000</v>
      </c>
      <c r="F8" s="3">
        <f t="shared" si="1"/>
        <v>3500.0000000000005</v>
      </c>
      <c r="G8" s="3">
        <f t="shared" si="2"/>
        <v>46500</v>
      </c>
      <c r="H8" s="3" t="str">
        <f t="shared" si="3"/>
        <v/>
      </c>
      <c r="M8" s="5" t="s">
        <v>15</v>
      </c>
    </row>
    <row r="9" spans="1:13">
      <c r="A9" s="2">
        <v>45679</v>
      </c>
      <c r="B9" s="8" t="s">
        <v>16</v>
      </c>
      <c r="C9" s="8">
        <v>1200</v>
      </c>
      <c r="D9" s="8">
        <v>20</v>
      </c>
      <c r="E9" s="3">
        <f t="shared" si="0"/>
        <v>24000</v>
      </c>
      <c r="F9" s="3">
        <f t="shared" si="1"/>
        <v>1680.0000000000002</v>
      </c>
      <c r="G9" s="3">
        <f t="shared" si="2"/>
        <v>22320</v>
      </c>
      <c r="H9" s="3" t="str">
        <f t="shared" si="3"/>
        <v>Completa</v>
      </c>
      <c r="M9" s="4">
        <v>7.0000000000000007E-2</v>
      </c>
    </row>
    <row r="10" spans="1:13">
      <c r="A10" s="2">
        <v>45682</v>
      </c>
      <c r="B10" s="8" t="s">
        <v>17</v>
      </c>
      <c r="C10" s="8">
        <v>3600</v>
      </c>
      <c r="D10" s="8">
        <v>6</v>
      </c>
      <c r="E10" s="3">
        <f t="shared" si="0"/>
        <v>21600</v>
      </c>
      <c r="F10" s="3">
        <f t="shared" si="1"/>
        <v>1512.0000000000002</v>
      </c>
      <c r="G10" s="3">
        <f t="shared" si="2"/>
        <v>20088</v>
      </c>
      <c r="H10" s="3" t="str">
        <f t="shared" si="3"/>
        <v/>
      </c>
    </row>
    <row r="11" spans="1:13">
      <c r="A11" s="2">
        <v>45685</v>
      </c>
      <c r="B11" s="8" t="s">
        <v>18</v>
      </c>
      <c r="C11" s="8">
        <v>900</v>
      </c>
      <c r="D11" s="8">
        <v>25</v>
      </c>
      <c r="E11" s="3">
        <f t="shared" si="0"/>
        <v>22500</v>
      </c>
      <c r="F11" s="3">
        <f t="shared" si="1"/>
        <v>1575.0000000000002</v>
      </c>
      <c r="G11" s="3">
        <f t="shared" si="2"/>
        <v>20925</v>
      </c>
      <c r="H11" s="3" t="str">
        <f t="shared" si="3"/>
        <v>Completa</v>
      </c>
    </row>
    <row r="12" spans="1:13">
      <c r="A12" s="1" t="s">
        <v>19</v>
      </c>
      <c r="B12" t="str">
        <f>INDEX(B2:B11,MATCH(MAX(D2:D11),D2:D11,0))</f>
        <v>Lapicera azul</v>
      </c>
    </row>
    <row r="13" spans="1:13">
      <c r="A13" s="1" t="s">
        <v>20</v>
      </c>
      <c r="B13">
        <f>AVERAGE(G2:G11)</f>
        <v>32415.15</v>
      </c>
    </row>
    <row r="14" spans="1:13">
      <c r="A14" s="1" t="s">
        <v>21</v>
      </c>
      <c r="B14">
        <f>SUMIF($A$2:$A$11,A2,$G$2:$G$11)</f>
        <v>44640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2026-02-06T17:17:31Z</dcterms:created>
  <dcterms:modified xsi:type="dcterms:W3CDTF">2026-02-06T18:20:28Z</dcterms:modified>
  <cp:category/>
  <cp:contentStatus/>
</cp:coreProperties>
</file>