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 defaultThemeVersion="166925"/>
  <xr:revisionPtr revIDLastSave="0" documentId="8_{031D1F55-0915-4CD0-B478-F1173E77B81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 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E11" i="3"/>
  <c r="E10" i="3"/>
  <c r="E9" i="3"/>
  <c r="E8" i="3"/>
  <c r="E7" i="3"/>
  <c r="E6" i="3"/>
  <c r="E5" i="3"/>
  <c r="E4" i="3"/>
  <c r="E3" i="3"/>
  <c r="E2" i="3"/>
  <c r="F2" i="3" l="1"/>
  <c r="G2" i="3" s="1"/>
  <c r="F3" i="3"/>
  <c r="G3" i="3" s="1"/>
  <c r="H3" i="3" s="1"/>
  <c r="F4" i="3"/>
  <c r="G4" i="3" s="1"/>
  <c r="H4" i="3" s="1"/>
  <c r="F5" i="3"/>
  <c r="G5" i="3" s="1"/>
  <c r="H5" i="3" s="1"/>
  <c r="F6" i="3"/>
  <c r="G6" i="3" s="1"/>
  <c r="H6" i="3" s="1"/>
  <c r="F7" i="3"/>
  <c r="G7" i="3" s="1"/>
  <c r="H7" i="3" s="1"/>
  <c r="F8" i="3"/>
  <c r="G8" i="3" s="1"/>
  <c r="H8" i="3" s="1"/>
  <c r="F9" i="3"/>
  <c r="G9" i="3" s="1"/>
  <c r="H9" i="3" s="1"/>
  <c r="F10" i="3"/>
  <c r="G10" i="3" s="1"/>
  <c r="H10" i="3" s="1"/>
  <c r="F11" i="3"/>
  <c r="G11" i="3" s="1"/>
  <c r="H11" i="3" s="1"/>
  <c r="B15" i="3" l="1"/>
  <c r="B14" i="3"/>
  <c r="H2" i="3"/>
</calcChain>
</file>

<file path=xl/sharedStrings.xml><?xml version="1.0" encoding="utf-8"?>
<sst xmlns="http://schemas.openxmlformats.org/spreadsheetml/2006/main" count="21" uniqueCount="21">
  <si>
    <t>Fecha</t>
  </si>
  <si>
    <t>Producto</t>
  </si>
  <si>
    <t>Precio Unitario</t>
  </si>
  <si>
    <t>Cantidad Vendida</t>
  </si>
  <si>
    <t>Total de ventas</t>
  </si>
  <si>
    <t>Total descuento</t>
  </si>
  <si>
    <t>Ventas Netas</t>
  </si>
  <si>
    <t>Estado de Ventas</t>
  </si>
  <si>
    <t>Pan integral</t>
  </si>
  <si>
    <t>Leche descremada</t>
  </si>
  <si>
    <t>Yogur natural</t>
  </si>
  <si>
    <t>Queso cremoso</t>
  </si>
  <si>
    <t>Galletas integrales</t>
  </si>
  <si>
    <t>Jugo de naranja</t>
  </si>
  <si>
    <t>Arroz largo fino</t>
  </si>
  <si>
    <t>Fideos secos</t>
  </si>
  <si>
    <t>Aceite de girasol</t>
  </si>
  <si>
    <t>Azúcar</t>
  </si>
  <si>
    <t>Producto más vendido:</t>
  </si>
  <si>
    <t>Promedio de ventas</t>
  </si>
  <si>
    <t>Ventas por 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</si>
</sst>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C0A]\ 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9" fontId="0" fillId="0" borderId="0" xfId="0" applyNumberFormat="1"/>
    <xf numFmtId="0" fontId="1" fillId="0" borderId="0" xfId="0" applyFont="1"/>
    <xf numFmtId="0" fontId="2" fillId="0" borderId="1" xfId="0" applyFont="1" applyFill="1" applyBorder="1"/>
    <xf numFmtId="0" fontId="2" fillId="0" borderId="2" xfId="0" applyFont="1" applyFill="1" applyBorder="1"/>
    <xf numFmtId="0" fontId="2" fillId="0" borderId="3" xfId="0" applyFont="1" applyFill="1" applyBorder="1" applyAlignment="1">
      <alignment wrapText="1"/>
    </xf>
    <xf numFmtId="0" fontId="2" fillId="0" borderId="3" xfId="0" applyFont="1" applyFill="1" applyBorder="1"/>
    <xf numFmtId="14" fontId="0" fillId="0" borderId="0" xfId="0" applyNumberFormat="1" applyFont="1" applyFill="1" applyBorder="1"/>
    <xf numFmtId="0" fontId="0" fillId="0" borderId="0" xfId="0" applyFont="1" applyFill="1" applyBorder="1"/>
    <xf numFmtId="164" fontId="0" fillId="0" borderId="0" xfId="0" applyNumberFormat="1" applyFont="1" applyFill="1" applyBorder="1"/>
    <xf numFmtId="0" fontId="0" fillId="0" borderId="0" xfId="0" applyFont="1" applyFill="1" applyBorder="1" applyAlignment="1">
      <alignment wrapText="1"/>
    </xf>
    <xf numFmtId="0" fontId="0" fillId="0" borderId="0" xfId="0" applyBorder="1"/>
    <xf numFmtId="0" fontId="1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662DD-EC5D-4BF0-8A28-860155F4D365}">
  <dimension ref="A1:M15"/>
  <sheetViews>
    <sheetView tabSelected="1" workbookViewId="0">
      <selection activeCell="H13" sqref="A2:H13"/>
    </sheetView>
  </sheetViews>
  <sheetFormatPr defaultRowHeight="15"/>
  <cols>
    <col min="1" max="1" width="19.28515625" customWidth="1"/>
    <col min="2" max="2" width="17.5703125" customWidth="1"/>
    <col min="3" max="3" width="20.140625" customWidth="1"/>
    <col min="4" max="4" width="25.7109375" customWidth="1"/>
    <col min="5" max="5" width="20.7109375" customWidth="1"/>
    <col min="6" max="6" width="19.7109375" customWidth="1"/>
    <col min="7" max="7" width="17.7109375" customWidth="1"/>
    <col min="8" max="8" width="36.5703125" bestFit="1" customWidth="1"/>
  </cols>
  <sheetData>
    <row r="1" spans="1:13">
      <c r="A1" s="4" t="s">
        <v>0</v>
      </c>
      <c r="B1" s="5" t="s">
        <v>1</v>
      </c>
      <c r="C1" s="5" t="s">
        <v>2</v>
      </c>
      <c r="D1" s="6" t="s">
        <v>3</v>
      </c>
      <c r="E1" s="4" t="s">
        <v>4</v>
      </c>
      <c r="F1" s="5" t="s">
        <v>5</v>
      </c>
      <c r="G1" s="5" t="s">
        <v>6</v>
      </c>
      <c r="H1" s="7" t="s">
        <v>7</v>
      </c>
    </row>
    <row r="2" spans="1:13">
      <c r="A2" s="8">
        <v>46054</v>
      </c>
      <c r="B2" s="9" t="s">
        <v>8</v>
      </c>
      <c r="C2" s="10">
        <v>1200</v>
      </c>
      <c r="D2" s="9">
        <v>15</v>
      </c>
      <c r="E2" s="10">
        <f>C2*D2</f>
        <v>18000</v>
      </c>
      <c r="F2" s="10">
        <f t="shared" ref="F2:F11" si="0">E2*$M$9</f>
        <v>1260.0000000000002</v>
      </c>
      <c r="G2" s="10">
        <f t="shared" ref="G2:G11" si="1">E2-F2</f>
        <v>16740</v>
      </c>
      <c r="H2" s="11" t="str">
        <f>IF(AND($G2&gt;1000,$D2&gt;15),"Completa","")</f>
        <v/>
      </c>
    </row>
    <row r="3" spans="1:13">
      <c r="A3" s="8">
        <v>46054</v>
      </c>
      <c r="B3" s="9" t="s">
        <v>9</v>
      </c>
      <c r="C3" s="10">
        <v>950</v>
      </c>
      <c r="D3" s="9">
        <v>20</v>
      </c>
      <c r="E3" s="10">
        <f t="shared" ref="E3:E11" si="2">C3*D3</f>
        <v>19000</v>
      </c>
      <c r="F3" s="10">
        <f t="shared" si="0"/>
        <v>1330.0000000000002</v>
      </c>
      <c r="G3" s="10">
        <f t="shared" si="1"/>
        <v>17670</v>
      </c>
      <c r="H3" s="9" t="str">
        <f>IF(AND($G3&gt;1000,$D3&gt;15),"Completa","")</f>
        <v>Completa</v>
      </c>
    </row>
    <row r="4" spans="1:13">
      <c r="A4" s="8">
        <v>46055</v>
      </c>
      <c r="B4" s="9" t="s">
        <v>10</v>
      </c>
      <c r="C4" s="10">
        <v>700</v>
      </c>
      <c r="D4" s="9">
        <v>18</v>
      </c>
      <c r="E4" s="10">
        <f t="shared" si="2"/>
        <v>12600</v>
      </c>
      <c r="F4" s="10">
        <f t="shared" si="0"/>
        <v>882.00000000000011</v>
      </c>
      <c r="G4" s="10">
        <f t="shared" si="1"/>
        <v>11718</v>
      </c>
      <c r="H4" s="9" t="str">
        <f>IF(AND($G4&gt;1000,$D4&gt;15),"Completa","")</f>
        <v>Completa</v>
      </c>
    </row>
    <row r="5" spans="1:13">
      <c r="A5" s="8">
        <v>46055</v>
      </c>
      <c r="B5" s="9" t="s">
        <v>11</v>
      </c>
      <c r="C5" s="10">
        <v>3500</v>
      </c>
      <c r="D5" s="9">
        <v>6</v>
      </c>
      <c r="E5" s="10">
        <f t="shared" si="2"/>
        <v>21000</v>
      </c>
      <c r="F5" s="10">
        <f t="shared" si="0"/>
        <v>1470.0000000000002</v>
      </c>
      <c r="G5" s="10">
        <f t="shared" si="1"/>
        <v>19530</v>
      </c>
      <c r="H5" s="9" t="str">
        <f>IF(AND($G5&gt;1000,$D5&gt;15),"Completa","")</f>
        <v/>
      </c>
    </row>
    <row r="6" spans="1:13">
      <c r="A6" s="8">
        <v>46056</v>
      </c>
      <c r="B6" s="9" t="s">
        <v>12</v>
      </c>
      <c r="C6" s="10">
        <v>850</v>
      </c>
      <c r="D6" s="9">
        <v>22</v>
      </c>
      <c r="E6" s="10">
        <f t="shared" si="2"/>
        <v>18700</v>
      </c>
      <c r="F6" s="10">
        <f t="shared" si="0"/>
        <v>1309.0000000000002</v>
      </c>
      <c r="G6" s="10">
        <f t="shared" si="1"/>
        <v>17391</v>
      </c>
      <c r="H6" s="9" t="str">
        <f>IF(AND($G6&gt;1000,$D6&gt;15),"Completa","")</f>
        <v>Completa</v>
      </c>
    </row>
    <row r="7" spans="1:13">
      <c r="A7" s="8">
        <v>46056</v>
      </c>
      <c r="B7" s="9" t="s">
        <v>13</v>
      </c>
      <c r="C7" s="10">
        <v>1100</v>
      </c>
      <c r="D7" s="9">
        <v>12</v>
      </c>
      <c r="E7" s="10">
        <f t="shared" si="2"/>
        <v>13200</v>
      </c>
      <c r="F7" s="10">
        <f t="shared" si="0"/>
        <v>924.00000000000011</v>
      </c>
      <c r="G7" s="10">
        <f t="shared" si="1"/>
        <v>12276</v>
      </c>
      <c r="H7" s="9" t="str">
        <f>IF(AND($G7&gt;1000,$D7&gt;15),"Completa","")</f>
        <v/>
      </c>
    </row>
    <row r="8" spans="1:13">
      <c r="A8" s="8">
        <v>46057</v>
      </c>
      <c r="B8" s="9" t="s">
        <v>14</v>
      </c>
      <c r="C8" s="10">
        <v>1300</v>
      </c>
      <c r="D8" s="9">
        <v>10</v>
      </c>
      <c r="E8" s="10">
        <f t="shared" si="2"/>
        <v>13000</v>
      </c>
      <c r="F8" s="10">
        <f t="shared" si="0"/>
        <v>910.00000000000011</v>
      </c>
      <c r="G8" s="10">
        <f t="shared" si="1"/>
        <v>12090</v>
      </c>
      <c r="H8" s="9" t="str">
        <f>IF(AND($G8&gt;1000,$D8&gt;15),"Completa","")</f>
        <v/>
      </c>
    </row>
    <row r="9" spans="1:13">
      <c r="A9" s="8">
        <v>46057</v>
      </c>
      <c r="B9" s="9" t="s">
        <v>15</v>
      </c>
      <c r="C9" s="10">
        <v>900</v>
      </c>
      <c r="D9" s="9">
        <v>14</v>
      </c>
      <c r="E9" s="10">
        <f t="shared" si="2"/>
        <v>12600</v>
      </c>
      <c r="F9" s="10">
        <f t="shared" si="0"/>
        <v>882.00000000000011</v>
      </c>
      <c r="G9" s="10">
        <f t="shared" si="1"/>
        <v>11718</v>
      </c>
      <c r="H9" s="9" t="str">
        <f>IF(AND($G9&gt;1000,$D9&gt;15),"Completa","")</f>
        <v/>
      </c>
      <c r="M9" s="2">
        <v>7.0000000000000007E-2</v>
      </c>
    </row>
    <row r="10" spans="1:13">
      <c r="A10" s="8">
        <v>46058</v>
      </c>
      <c r="B10" s="9" t="s">
        <v>16</v>
      </c>
      <c r="C10" s="10">
        <v>2800</v>
      </c>
      <c r="D10" s="9">
        <v>8</v>
      </c>
      <c r="E10" s="10">
        <f t="shared" si="2"/>
        <v>22400</v>
      </c>
      <c r="F10" s="10">
        <f t="shared" si="0"/>
        <v>1568.0000000000002</v>
      </c>
      <c r="G10" s="10">
        <f t="shared" si="1"/>
        <v>20832</v>
      </c>
      <c r="H10" s="9" t="str">
        <f>IF(AND($G10&gt;1000,$D10&gt;15),"Completa","")</f>
        <v/>
      </c>
    </row>
    <row r="11" spans="1:13">
      <c r="A11" s="8">
        <v>46058</v>
      </c>
      <c r="B11" s="9" t="s">
        <v>17</v>
      </c>
      <c r="C11" s="10">
        <v>1000</v>
      </c>
      <c r="D11" s="9">
        <v>16</v>
      </c>
      <c r="E11" s="10">
        <f t="shared" si="2"/>
        <v>16000</v>
      </c>
      <c r="F11" s="10">
        <f t="shared" si="0"/>
        <v>1120</v>
      </c>
      <c r="G11" s="10">
        <f t="shared" si="1"/>
        <v>14880</v>
      </c>
      <c r="H11" s="9" t="str">
        <f>IF(AND($G11&gt;1000,$D11&gt;15),"Completa","")</f>
        <v>Completa</v>
      </c>
    </row>
    <row r="12" spans="1:13">
      <c r="A12" s="12"/>
      <c r="B12" s="12"/>
      <c r="C12" s="12"/>
      <c r="D12" s="12"/>
      <c r="E12" s="12"/>
      <c r="F12" s="12"/>
      <c r="G12" s="12"/>
      <c r="H12" s="12"/>
    </row>
    <row r="13" spans="1:13" ht="30.75">
      <c r="A13" s="13" t="s">
        <v>18</v>
      </c>
      <c r="B13" s="12">
        <f>MAX($D$2:$D$11)</f>
        <v>22</v>
      </c>
      <c r="C13" s="12"/>
      <c r="D13" s="12"/>
      <c r="E13" s="12"/>
      <c r="F13" s="12"/>
      <c r="G13" s="12"/>
      <c r="H13" s="12"/>
    </row>
    <row r="14" spans="1:13">
      <c r="A14" s="3" t="s">
        <v>19</v>
      </c>
      <c r="B14">
        <f>AVERAGE($G$2:$G$11)</f>
        <v>15484.5</v>
      </c>
    </row>
    <row r="15" spans="1:13">
      <c r="A15" s="3" t="s">
        <v>20</v>
      </c>
      <c r="B15" s="1">
        <f>SUMIF(A2:A11,A2,G2:G11)</f>
        <v>34410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2026-02-06T18:11:01Z</dcterms:created>
  <dcterms:modified xsi:type="dcterms:W3CDTF">2026-02-06T21:03:04Z</dcterms:modified>
  <cp:category/>
  <cp:contentStatus/>
</cp:coreProperties>
</file>