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\Downloads\"/>
    </mc:Choice>
  </mc:AlternateContent>
  <xr:revisionPtr revIDLastSave="0" documentId="13_ncr:1_{E22924E1-A099-461E-9DCD-80ABBB9840F9}" xr6:coauthVersionLast="47" xr6:coauthVersionMax="47" xr10:uidLastSave="{00000000-0000-0000-0000-000000000000}"/>
  <bookViews>
    <workbookView xWindow="-120" yWindow="-120" windowWidth="17520" windowHeight="126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C15" i="1"/>
  <c r="C13" i="1"/>
  <c r="H3" i="1"/>
  <c r="H4" i="1"/>
  <c r="H5" i="1"/>
  <c r="H6" i="1"/>
  <c r="H7" i="1"/>
  <c r="H8" i="1"/>
  <c r="H9" i="1"/>
  <c r="H10" i="1"/>
  <c r="H11" i="1"/>
  <c r="H2" i="1"/>
  <c r="E6" i="1"/>
  <c r="E3" i="1"/>
  <c r="F3" i="1"/>
  <c r="E7" i="1"/>
  <c r="E8" i="1"/>
  <c r="E9" i="1"/>
  <c r="E10" i="1"/>
  <c r="E11" i="1"/>
  <c r="E4" i="1"/>
  <c r="F4" i="1" s="1"/>
  <c r="E5" i="1"/>
  <c r="E2" i="1"/>
  <c r="F2" i="1" s="1"/>
  <c r="F11" i="1" l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G4" i="1"/>
  <c r="G3" i="1"/>
  <c r="G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<sst xmlns="http://schemas.openxmlformats.org/spreadsheetml/2006/main" count="21" uniqueCount="21">
  <si>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</si>
  <si>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</si>
  <si>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</si>
  <si>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</si>
  <si>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</si>
  <si>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</si>
  <si>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</si>
  <si>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</si>
  <si>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Leche La Serenísima 1L</t>
  </si>
  <si>
    <t>Arroz Gallo Oro 1Kg</t>
  </si>
  <si>
    <t>Aceite Natura 900ml</t>
  </si>
  <si>
    <t>Yerba Mate Playadito 1Kg</t>
  </si>
  <si>
    <t>Fideos Lucchetti 500g</t>
  </si>
  <si>
    <t>Azúcar Ledesma 1Kg</t>
  </si>
  <si>
    <t>Galletitas Oreo 118g</t>
  </si>
  <si>
    <t>Queso Cremoso La Paulina 300g</t>
  </si>
  <si>
    <t>Shampoo Pantene 400ml</t>
  </si>
  <si>
    <t>Papel Higiénico Higienol x4</t>
  </si>
  <si>
    <t>PRODUCTO MAS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</si>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</sst>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0" fillId="3" borderId="1" xfId="0" applyNumberFormat="1" applyFont="1" applyFill="1" applyBorder="1"/>
    <xf numFmtId="0" fontId="0" fillId="3" borderId="2" xfId="0" applyFont="1" applyFill="1" applyBorder="1"/>
    <xf numFmtId="0" fontId="0" fillId="3" borderId="3" xfId="0" applyFont="1" applyFill="1" applyBorder="1" applyAlignment="1">
      <alignment wrapText="1"/>
    </xf>
    <xf numFmtId="14" fontId="0" fillId="0" borderId="1" xfId="0" applyNumberFormat="1" applyFont="1" applyBorder="1"/>
    <xf numFmtId="0" fontId="0" fillId="0" borderId="2" xfId="0" applyFont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12.140625" bestFit="1" customWidth="1"/>
    <col min="2" max="2" width="28.7109375" bestFit="1" customWidth="1"/>
    <col min="3" max="3" width="19.140625" bestFit="1" customWidth="1"/>
    <col min="4" max="4" width="21.42578125" bestFit="1" customWidth="1"/>
    <col min="5" max="5" width="16.42578125" bestFit="1" customWidth="1"/>
    <col min="6" max="6" width="36.140625" bestFit="1" customWidth="1"/>
    <col min="7" max="7" width="16.5703125" bestFit="1" customWidth="1"/>
    <col min="8" max="8" width="36.57031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13" x14ac:dyDescent="0.25">
      <c r="A2" s="5">
        <v>45299</v>
      </c>
      <c r="B2" s="6" t="s">
        <v>8</v>
      </c>
      <c r="C2" s="6">
        <v>2000</v>
      </c>
      <c r="D2" s="6">
        <v>20</v>
      </c>
      <c r="E2" s="6">
        <f t="shared" ref="E2:E11" si="0">C2*D2</f>
        <v>40000</v>
      </c>
      <c r="F2" s="6">
        <f>E2*$M$9</f>
        <v>2800.0000000000005</v>
      </c>
      <c r="G2" s="6">
        <f t="shared" ref="G2:G11" si="1">E2-F2</f>
        <v>37200</v>
      </c>
      <c r="H2" s="7" t="str">
        <f>IF(AND(G2&gt;1000,D2&gt;15),"Completa"," ")</f>
        <v>Completa</v>
      </c>
    </row>
    <row r="3" spans="1:13" x14ac:dyDescent="0.25">
      <c r="A3" s="8">
        <v>45336</v>
      </c>
      <c r="B3" s="9" t="s">
        <v>9</v>
      </c>
      <c r="C3" s="9">
        <v>3200</v>
      </c>
      <c r="D3" s="9">
        <v>10</v>
      </c>
      <c r="E3" s="9">
        <f>C3*D3</f>
        <v>32000</v>
      </c>
      <c r="F3" s="9">
        <f>E3*$M$9</f>
        <v>2240</v>
      </c>
      <c r="G3" s="9">
        <f t="shared" si="1"/>
        <v>29760</v>
      </c>
      <c r="H3" s="7" t="str">
        <f t="shared" ref="H3:H11" si="2">IF(AND(G3&gt;1000,D3&gt;15),"Completa"," ")</f>
        <v xml:space="preserve"> </v>
      </c>
    </row>
    <row r="4" spans="1:13" x14ac:dyDescent="0.25">
      <c r="A4" s="5">
        <v>45357</v>
      </c>
      <c r="B4" s="6" t="s">
        <v>10</v>
      </c>
      <c r="C4" s="6">
        <v>3700</v>
      </c>
      <c r="D4" s="6">
        <v>15</v>
      </c>
      <c r="E4" s="6">
        <f t="shared" si="0"/>
        <v>55500</v>
      </c>
      <c r="F4" s="6">
        <f>E4*$M$9</f>
        <v>3885.0000000000005</v>
      </c>
      <c r="G4" s="6">
        <f t="shared" si="1"/>
        <v>51615</v>
      </c>
      <c r="H4" s="7" t="str">
        <f t="shared" si="2"/>
        <v xml:space="preserve"> </v>
      </c>
    </row>
    <row r="5" spans="1:13" x14ac:dyDescent="0.25">
      <c r="A5" s="8">
        <v>45370</v>
      </c>
      <c r="B5" s="9" t="s">
        <v>11</v>
      </c>
      <c r="C5" s="9">
        <v>5300</v>
      </c>
      <c r="D5" s="9">
        <v>12</v>
      </c>
      <c r="E5" s="9">
        <f t="shared" si="0"/>
        <v>63600</v>
      </c>
      <c r="F5" s="9">
        <f t="shared" ref="F5:F11" si="3">E5*$M$9</f>
        <v>4452</v>
      </c>
      <c r="G5" s="9">
        <f t="shared" si="1"/>
        <v>59148</v>
      </c>
      <c r="H5" s="7" t="str">
        <f t="shared" si="2"/>
        <v xml:space="preserve"> </v>
      </c>
    </row>
    <row r="6" spans="1:13" x14ac:dyDescent="0.25">
      <c r="A6" s="5">
        <v>45392</v>
      </c>
      <c r="B6" s="6" t="s">
        <v>12</v>
      </c>
      <c r="C6" s="6">
        <v>1500</v>
      </c>
      <c r="D6" s="6">
        <v>10</v>
      </c>
      <c r="E6" s="6">
        <f>C6*D6</f>
        <v>15000</v>
      </c>
      <c r="F6" s="6">
        <f t="shared" si="3"/>
        <v>1050</v>
      </c>
      <c r="G6" s="6">
        <f t="shared" si="1"/>
        <v>13950</v>
      </c>
      <c r="H6" s="7" t="str">
        <f t="shared" si="2"/>
        <v xml:space="preserve"> </v>
      </c>
    </row>
    <row r="7" spans="1:13" x14ac:dyDescent="0.25">
      <c r="A7" s="8">
        <v>45417</v>
      </c>
      <c r="B7" s="9" t="s">
        <v>13</v>
      </c>
      <c r="C7" s="9">
        <v>1300</v>
      </c>
      <c r="D7" s="9">
        <v>20</v>
      </c>
      <c r="E7" s="9">
        <f t="shared" si="0"/>
        <v>26000</v>
      </c>
      <c r="F7" s="9">
        <f t="shared" si="3"/>
        <v>1820.0000000000002</v>
      </c>
      <c r="G7" s="9">
        <f>E7-F7</f>
        <v>24180</v>
      </c>
      <c r="H7" s="7" t="str">
        <f t="shared" si="2"/>
        <v>Completa</v>
      </c>
    </row>
    <row r="8" spans="1:13" x14ac:dyDescent="0.25">
      <c r="A8" s="5">
        <v>45461</v>
      </c>
      <c r="B8" s="6" t="s">
        <v>14</v>
      </c>
      <c r="C8" s="6">
        <v>1800</v>
      </c>
      <c r="D8" s="6">
        <v>7</v>
      </c>
      <c r="E8" s="6">
        <f t="shared" si="0"/>
        <v>12600</v>
      </c>
      <c r="F8" s="6">
        <f t="shared" si="3"/>
        <v>882.00000000000011</v>
      </c>
      <c r="G8" s="6">
        <f t="shared" si="1"/>
        <v>11718</v>
      </c>
      <c r="H8" s="7" t="str">
        <f t="shared" si="2"/>
        <v xml:space="preserve"> </v>
      </c>
    </row>
    <row r="9" spans="1:13" x14ac:dyDescent="0.25">
      <c r="A9" s="8">
        <v>45482</v>
      </c>
      <c r="B9" s="9" t="s">
        <v>15</v>
      </c>
      <c r="C9" s="9">
        <v>2600</v>
      </c>
      <c r="D9" s="9">
        <v>7</v>
      </c>
      <c r="E9" s="9">
        <f t="shared" si="0"/>
        <v>18200</v>
      </c>
      <c r="F9" s="9">
        <f t="shared" si="3"/>
        <v>1274.0000000000002</v>
      </c>
      <c r="G9" s="9">
        <f t="shared" si="1"/>
        <v>16926</v>
      </c>
      <c r="H9" s="7" t="str">
        <f t="shared" si="2"/>
        <v xml:space="preserve"> </v>
      </c>
      <c r="M9" s="1">
        <v>7.0000000000000007E-2</v>
      </c>
    </row>
    <row r="10" spans="1:13" x14ac:dyDescent="0.25">
      <c r="A10" s="5">
        <v>45525</v>
      </c>
      <c r="B10" s="6" t="s">
        <v>16</v>
      </c>
      <c r="C10" s="6">
        <v>7000</v>
      </c>
      <c r="D10" s="6">
        <v>5</v>
      </c>
      <c r="E10" s="6">
        <f t="shared" si="0"/>
        <v>35000</v>
      </c>
      <c r="F10" s="6">
        <f t="shared" si="3"/>
        <v>2450.0000000000005</v>
      </c>
      <c r="G10" s="6">
        <f t="shared" si="1"/>
        <v>32550</v>
      </c>
      <c r="H10" s="7" t="str">
        <f t="shared" si="2"/>
        <v xml:space="preserve"> </v>
      </c>
    </row>
    <row r="11" spans="1:13" x14ac:dyDescent="0.25">
      <c r="A11" s="10">
        <v>45567</v>
      </c>
      <c r="B11" s="11" t="s">
        <v>17</v>
      </c>
      <c r="C11" s="11">
        <v>3600</v>
      </c>
      <c r="D11" s="11">
        <v>10</v>
      </c>
      <c r="E11" s="11">
        <f t="shared" si="0"/>
        <v>36000</v>
      </c>
      <c r="F11" s="11">
        <f t="shared" si="3"/>
        <v>2520.0000000000005</v>
      </c>
      <c r="G11" s="11">
        <f t="shared" si="1"/>
        <v>33480</v>
      </c>
      <c r="H11" s="7" t="str">
        <f t="shared" si="2"/>
        <v xml:space="preserve"> </v>
      </c>
    </row>
    <row r="13" spans="1:13" x14ac:dyDescent="0.25">
      <c r="A13" s="12" t="s">
        <v>18</v>
      </c>
      <c r="B13" s="12"/>
      <c r="C13">
        <f>MAX(D2:D11)</f>
        <v>20</v>
      </c>
    </row>
    <row r="14" spans="1:13" x14ac:dyDescent="0.25">
      <c r="A14" s="13" t="s">
        <v>19</v>
      </c>
      <c r="B14" s="13"/>
      <c r="C14">
        <f>AVERAGE(G2:G11)</f>
        <v>31052.7</v>
      </c>
    </row>
    <row r="15" spans="1:13" x14ac:dyDescent="0.25">
      <c r="A15" s="12" t="s">
        <v>20</v>
      </c>
      <c r="B15" s="12"/>
      <c r="C15">
        <f>SUMIF(A2:A11,A2,G2:G11)</f>
        <v>37200</v>
      </c>
    </row>
  </sheetData>
  <mergeCells count="3">
    <mergeCell ref="A13:B13"/>
    <mergeCell ref="A14:B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Walser</cp:lastModifiedBy>
  <cp:revision/>
  <dcterms:created xsi:type="dcterms:W3CDTF">2026-02-05T21:02:16Z</dcterms:created>
  <dcterms:modified xsi:type="dcterms:W3CDTF">2026-02-06T01:38:11Z</dcterms:modified>
  <cp:category/>
  <cp:contentStatus/>
</cp:coreProperties>
</file>