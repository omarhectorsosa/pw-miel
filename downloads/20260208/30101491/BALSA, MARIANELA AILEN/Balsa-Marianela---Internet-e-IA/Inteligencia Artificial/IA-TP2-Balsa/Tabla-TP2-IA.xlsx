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F3E1DFC6-A88B-47F5-AC77-7ADDD3FB4F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H2" i="1"/>
  <c r="H3" i="1"/>
  <c r="H4" i="1"/>
  <c r="H5" i="1"/>
  <c r="H6" i="1"/>
  <c r="H7" i="1"/>
  <c r="H8" i="1"/>
  <c r="H9" i="1"/>
  <c r="H10" i="1"/>
  <c r="H11" i="1"/>
  <c r="G2" i="1"/>
  <c r="G3" i="1"/>
  <c r="G4" i="1"/>
  <c r="G5" i="1"/>
  <c r="G6" i="1"/>
  <c r="G7" i="1"/>
  <c r="G8" i="1"/>
  <c r="G9" i="1"/>
  <c r="G10" i="1"/>
  <c r="G11" i="1"/>
  <c r="F2" i="1"/>
  <c r="F3" i="1"/>
  <c r="F4" i="1"/>
  <c r="F5" i="1"/>
  <c r="F6" i="1"/>
  <c r="F7" i="1"/>
  <c r="F8" i="1"/>
  <c r="F9" i="1"/>
  <c r="F10" i="1"/>
  <c r="F11" i="1"/>
  <c r="E2" i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<sst xmlns="http://schemas.openxmlformats.org/spreadsheetml/2006/main" count="21" uniqueCount="21">
  <si>
    <t>Fecha</t>
  </si>
  <si>
    <t>Producto</t>
  </si>
  <si>
    <t>Precio unitario</t>
  </si>
  <si>
    <t>Unidad vendida</t>
  </si>
  <si>
    <t>Total ventas</t>
  </si>
  <si>
    <t>Total Descuento</t>
  </si>
  <si>
    <t>Ventas Netas</t>
  </si>
  <si>
    <t>Estado de Venta</t>
  </si>
  <si>
    <t>Cuaderno Éxito N°3 tapa dura 100 hjs</t>
  </si>
  <si>
    <t>Block Éxito A4 80 hojas</t>
  </si>
  <si>
    <t>Lapicera BIC trazo fino</t>
  </si>
  <si>
    <t>Sacapunta Maped Boogy</t>
  </si>
  <si>
    <t>Pote de témperas 250 g</t>
  </si>
  <si>
    <t>Lápices de color Filgo x12</t>
  </si>
  <si>
    <t>Cuaderno Triunfante 48 hojas rayado</t>
  </si>
  <si>
    <t>Regla plástica 15 cm</t>
  </si>
  <si>
    <t>Repuesto apaisado color x6 hojas</t>
  </si>
  <si>
    <t>Resaltador fluo x10</t>
  </si>
  <si>
    <t>Producto más vendido</t>
  </si>
  <si>
    <t>Promedio de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</si>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</sst>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0A7508-E681-49E9-B5ED-F435EF877053}" name="Tabla1" displayName="Tabla1" ref="A1:H11" totalsRowShown="0" headerRowDxfId="6">
  <autoFilter ref="A1:H11" xr:uid="{5C0A7508-E681-49E9-B5ED-F435EF877053}"/>
  <tableColumns count="8">
    <tableColumn id="1" xr3:uid="{30AD0B66-C9C6-4C4C-9286-D972692ECADA}" name="Fecha" dataDxfId="5"/>
    <tableColumn id="2" xr3:uid="{6154545F-BC4E-4758-8C7C-CDA770A1CFC6}" name="Producto"/>
    <tableColumn id="3" xr3:uid="{31A9727E-8753-4D47-859B-179D2274841D}" name="Precio unitario" dataDxfId="4"/>
    <tableColumn id="4" xr3:uid="{03C85F00-4241-445A-B3BE-BC37F93D7527}" name="Unidad vendida"/>
    <tableColumn id="5" xr3:uid="{59642ECC-2695-47B6-84B5-173CD819A249}" name="Total ventas" dataDxfId="3">
      <calculatedColumnFormula>C2*D2</calculatedColumnFormula>
    </tableColumn>
    <tableColumn id="6" xr3:uid="{9103884A-5C6A-4827-81A3-18281200E751}" name="Total Descuento" dataDxfId="2">
      <calculatedColumnFormula>C2*$M$9</calculatedColumnFormula>
    </tableColumn>
    <tableColumn id="7" xr3:uid="{D8C6E47C-7744-491F-A39E-7A791A6B80C4}" name="Ventas Netas" dataDxfId="1">
      <calculatedColumnFormula>C2*D2 - (C2*D2*$M$9)</calculatedColumnFormula>
    </tableColumn>
    <tableColumn id="8" xr3:uid="{8DB8EC7E-DF44-4EB1-85BF-2EF3DD1954BB}" name="Estado de Venta" dataDxfId="0">
      <calculatedColumnFormula>IF(AND(G2&gt;=1000,D2&gt;=15),"Completa","Incompleta")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B16" sqref="B16"/>
    </sheetView>
  </sheetViews>
  <sheetFormatPr defaultRowHeight="15"/>
  <cols>
    <col min="1" max="1" width="20.28515625" bestFit="1" customWidth="1"/>
    <col min="2" max="2" width="33.28515625" bestFit="1" customWidth="1"/>
    <col min="3" max="3" width="19.28515625" bestFit="1" customWidth="1"/>
    <col min="4" max="4" width="17.140625" bestFit="1" customWidth="1"/>
    <col min="5" max="5" width="14" bestFit="1" customWidth="1"/>
    <col min="6" max="6" width="17.5703125" bestFit="1" customWidth="1"/>
    <col min="7" max="7" width="14.85546875" bestFit="1" customWidth="1"/>
    <col min="8" max="8" width="17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3" ht="16.5" customHeight="1">
      <c r="A2" s="2">
        <v>46054</v>
      </c>
      <c r="B2" t="s">
        <v>8</v>
      </c>
      <c r="C2" s="3">
        <v>10800</v>
      </c>
      <c r="D2">
        <v>3</v>
      </c>
      <c r="E2">
        <f t="shared" ref="E2:E11" si="0">C2*D2</f>
        <v>32400</v>
      </c>
      <c r="F2">
        <f t="shared" ref="F2:F11" si="1">C2*$M$9</f>
        <v>756.00000000000011</v>
      </c>
      <c r="G2">
        <f t="shared" ref="G2:G11" si="2">C2*D2 - (C2*D2*$M$9)</f>
        <v>30132</v>
      </c>
      <c r="H2" s="5" t="str">
        <f t="shared" ref="H2:H11" si="3">IF(AND(G2&gt;=1000,D2&gt;=15),"Completa","Incompleta")</f>
        <v>Incompleta</v>
      </c>
    </row>
    <row r="3" spans="1:13">
      <c r="A3" s="2">
        <v>46054</v>
      </c>
      <c r="B3" t="s">
        <v>9</v>
      </c>
      <c r="C3" s="3">
        <v>8800</v>
      </c>
      <c r="D3">
        <v>2</v>
      </c>
      <c r="E3">
        <f t="shared" si="0"/>
        <v>17600</v>
      </c>
      <c r="F3">
        <f t="shared" si="1"/>
        <v>616.00000000000011</v>
      </c>
      <c r="G3">
        <f t="shared" si="2"/>
        <v>16368</v>
      </c>
      <c r="H3" t="str">
        <f t="shared" si="3"/>
        <v>Incompleta</v>
      </c>
    </row>
    <row r="4" spans="1:13">
      <c r="A4" s="2">
        <v>46054</v>
      </c>
      <c r="B4" t="s">
        <v>10</v>
      </c>
      <c r="C4" s="3">
        <v>1000</v>
      </c>
      <c r="D4">
        <v>10</v>
      </c>
      <c r="E4">
        <f t="shared" si="0"/>
        <v>10000</v>
      </c>
      <c r="F4">
        <f t="shared" si="1"/>
        <v>70</v>
      </c>
      <c r="G4">
        <f t="shared" si="2"/>
        <v>9300</v>
      </c>
      <c r="H4" t="str">
        <f t="shared" si="3"/>
        <v>Incompleta</v>
      </c>
    </row>
    <row r="5" spans="1:13">
      <c r="A5" s="2">
        <v>46054</v>
      </c>
      <c r="B5" t="s">
        <v>11</v>
      </c>
      <c r="C5">
        <v>200</v>
      </c>
      <c r="D5">
        <v>5</v>
      </c>
      <c r="E5">
        <f t="shared" si="0"/>
        <v>1000</v>
      </c>
      <c r="F5">
        <f t="shared" si="1"/>
        <v>14.000000000000002</v>
      </c>
      <c r="G5">
        <f t="shared" si="2"/>
        <v>930</v>
      </c>
      <c r="H5" t="str">
        <f t="shared" si="3"/>
        <v>Incompleta</v>
      </c>
    </row>
    <row r="6" spans="1:13">
      <c r="A6" s="2">
        <v>46054</v>
      </c>
      <c r="B6" t="s">
        <v>12</v>
      </c>
      <c r="C6" s="3">
        <v>1200</v>
      </c>
      <c r="D6">
        <v>4</v>
      </c>
      <c r="E6">
        <f t="shared" si="0"/>
        <v>4800</v>
      </c>
      <c r="F6">
        <f t="shared" si="1"/>
        <v>84.000000000000014</v>
      </c>
      <c r="G6">
        <f t="shared" si="2"/>
        <v>4464</v>
      </c>
      <c r="H6" t="str">
        <f t="shared" si="3"/>
        <v>Incompleta</v>
      </c>
    </row>
    <row r="7" spans="1:13">
      <c r="A7" s="2">
        <v>46054</v>
      </c>
      <c r="B7" t="s">
        <v>13</v>
      </c>
      <c r="C7" s="3">
        <v>2900</v>
      </c>
      <c r="D7">
        <v>2</v>
      </c>
      <c r="E7">
        <f t="shared" si="0"/>
        <v>5800</v>
      </c>
      <c r="F7">
        <f t="shared" si="1"/>
        <v>203.00000000000003</v>
      </c>
      <c r="G7">
        <f t="shared" si="2"/>
        <v>5394</v>
      </c>
      <c r="H7" t="str">
        <f t="shared" si="3"/>
        <v>Incompleta</v>
      </c>
    </row>
    <row r="8" spans="1:13">
      <c r="A8" s="2">
        <v>46054</v>
      </c>
      <c r="B8" t="s">
        <v>14</v>
      </c>
      <c r="C8" s="3">
        <v>6900</v>
      </c>
      <c r="D8">
        <v>6</v>
      </c>
      <c r="E8">
        <f t="shared" si="0"/>
        <v>41400</v>
      </c>
      <c r="F8">
        <f t="shared" si="1"/>
        <v>483.00000000000006</v>
      </c>
      <c r="G8">
        <f t="shared" si="2"/>
        <v>38502</v>
      </c>
      <c r="H8" t="str">
        <f t="shared" si="3"/>
        <v>Incompleta</v>
      </c>
    </row>
    <row r="9" spans="1:13">
      <c r="A9" s="2">
        <v>46054</v>
      </c>
      <c r="B9" t="s">
        <v>15</v>
      </c>
      <c r="C9" s="3">
        <v>1400</v>
      </c>
      <c r="D9">
        <v>8</v>
      </c>
      <c r="E9">
        <f t="shared" si="0"/>
        <v>11200</v>
      </c>
      <c r="F9">
        <f t="shared" si="1"/>
        <v>98.000000000000014</v>
      </c>
      <c r="G9">
        <f t="shared" si="2"/>
        <v>10416</v>
      </c>
      <c r="H9" t="str">
        <f t="shared" si="3"/>
        <v>Incompleta</v>
      </c>
      <c r="M9" s="4">
        <v>7.0000000000000007E-2</v>
      </c>
    </row>
    <row r="10" spans="1:13">
      <c r="A10" s="2">
        <v>46054</v>
      </c>
      <c r="B10" t="s">
        <v>16</v>
      </c>
      <c r="C10" s="3">
        <v>1400</v>
      </c>
      <c r="D10">
        <v>7</v>
      </c>
      <c r="E10">
        <f t="shared" si="0"/>
        <v>9800</v>
      </c>
      <c r="F10">
        <f t="shared" si="1"/>
        <v>98.000000000000014</v>
      </c>
      <c r="G10">
        <f t="shared" si="2"/>
        <v>9114</v>
      </c>
      <c r="H10" t="str">
        <f t="shared" si="3"/>
        <v>Incompleta</v>
      </c>
    </row>
    <row r="11" spans="1:13">
      <c r="A11" s="2">
        <v>46054</v>
      </c>
      <c r="B11" t="s">
        <v>17</v>
      </c>
      <c r="C11" s="3">
        <v>15900</v>
      </c>
      <c r="D11">
        <v>1</v>
      </c>
      <c r="E11">
        <f t="shared" si="0"/>
        <v>15900</v>
      </c>
      <c r="F11">
        <f t="shared" si="1"/>
        <v>1113</v>
      </c>
      <c r="G11">
        <f t="shared" si="2"/>
        <v>14787</v>
      </c>
      <c r="H11" t="str">
        <f t="shared" si="3"/>
        <v>Incompleta</v>
      </c>
    </row>
    <row r="13" spans="1:13">
      <c r="A13" t="s">
        <v>18</v>
      </c>
      <c r="B13">
        <v>10</v>
      </c>
    </row>
    <row r="14" spans="1:13">
      <c r="A14" t="s">
        <v>19</v>
      </c>
      <c r="B14">
        <f>AVERAGE(D2:D11)</f>
        <v>4.8</v>
      </c>
    </row>
    <row r="15" spans="1:13">
      <c r="A15" t="s">
        <v>20</v>
      </c>
      <c r="B15">
        <f>SUM(G2:G11)</f>
        <v>139407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2026-02-04T20:04:56Z</dcterms:created>
  <dcterms:modified xsi:type="dcterms:W3CDTF">2026-02-05T13:46:01Z</dcterms:modified>
  <cp:category/>
  <cp:contentStatus/>
</cp:coreProperties>
</file>