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xr:revisionPtr revIDLastSave="0" documentId="8_{6BAC7825-521B-48EF-9D47-DAD6E416338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E3" i="1"/>
  <c r="F3" i="1" s="1"/>
  <c r="G3" i="1" s="1"/>
  <c r="H3" i="1" s="1"/>
  <c r="E4" i="1"/>
  <c r="F4" i="1" s="1"/>
  <c r="G4" i="1" s="1"/>
  <c r="H4" i="1" s="1"/>
  <c r="E5" i="1"/>
  <c r="F5" i="1" s="1"/>
  <c r="G5" i="1" s="1"/>
  <c r="H5" i="1" s="1"/>
  <c r="E6" i="1"/>
  <c r="F6" i="1" s="1"/>
  <c r="G6" i="1" s="1"/>
  <c r="H6" i="1" s="1"/>
  <c r="E7" i="1"/>
  <c r="F7" i="1" s="1"/>
  <c r="G7" i="1" s="1"/>
  <c r="H7" i="1" s="1"/>
  <c r="E8" i="1"/>
  <c r="F8" i="1" s="1"/>
  <c r="G8" i="1" s="1"/>
  <c r="H8" i="1" s="1"/>
  <c r="E9" i="1"/>
  <c r="F9" i="1" s="1"/>
  <c r="G9" i="1" s="1"/>
  <c r="H9" i="1" s="1"/>
  <c r="E10" i="1"/>
  <c r="F10" i="1" s="1"/>
  <c r="G10" i="1" s="1"/>
  <c r="H10" i="1" s="1"/>
  <c r="E11" i="1"/>
  <c r="F11" i="1" s="1"/>
  <c r="G11" i="1" s="1"/>
  <c r="H11" i="1" s="1"/>
  <c r="E2" i="1"/>
  <c r="F2" i="1" l="1"/>
  <c r="G2" i="1" s="1"/>
  <c r="C14" i="1" l="1"/>
  <c r="C13" i="1"/>
  <c r="H2" i="1"/>
</calcChain>
</file>

<file path=xl/sharedStrings.xml><?xml version="1.0" encoding="utf-8"?>
<sst xmlns="http://schemas.openxmlformats.org/spreadsheetml/2006/main" count="21" uniqueCount="21">
  <si>
    <t>Fecha</t>
  </si>
  <si>
    <t>Producto</t>
  </si>
  <si>
    <t>Precio unitario (ARS)</t>
  </si>
  <si>
    <t>Cantidad vendida</t>
  </si>
  <si>
    <t>Total Ventas</t>
  </si>
  <si>
    <t>Total Descuento</t>
  </si>
  <si>
    <t>Ventas Netas</t>
  </si>
  <si>
    <t>Estado de Venta</t>
  </si>
  <si>
    <t>Cuaderno universitario Éxito 84 hojas</t>
  </si>
  <si>
    <t>Birome BIC Cristal azul</t>
  </si>
  <si>
    <t>Lápiz negro Faber-Castell Nº2</t>
  </si>
  <si>
    <t>Goma de borrar Pelikan blanca</t>
  </si>
  <si>
    <t>Resaltador Stabilo Boss amarillo</t>
  </si>
  <si>
    <t>Regla plástica Maped 30 cm</t>
  </si>
  <si>
    <t>Pegamento en barra Pritt 21 g</t>
  </si>
  <si>
    <t>Corrector líquido Paper Mate</t>
  </si>
  <si>
    <t>Carpeta escolar con broche tamaño carta</t>
  </si>
  <si>
    <t>Paquete de hojas A4 blancas (100 unidades)</t>
  </si>
  <si>
    <t>Producto más vendido:</t>
  </si>
  <si>
    <t xml:space="preserve">Promedio ventas: </t>
  </si>
  <si>
    <t>Ventas por fecha: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</si>
</sst>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/>
    <xf numFmtId="164" fontId="0" fillId="0" borderId="1" xfId="0" applyNumberFormat="1" applyBorder="1"/>
    <xf numFmtId="164" fontId="0" fillId="0" borderId="0" xfId="0" applyNumberFormat="1"/>
    <xf numFmtId="10" fontId="0" fillId="0" borderId="0" xfId="0" applyNumberFormat="1"/>
    <xf numFmtId="9" fontId="2" fillId="0" borderId="3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sqref="A1:H1"/>
    </sheetView>
  </sheetViews>
  <sheetFormatPr defaultRowHeight="15"/>
  <cols>
    <col min="1" max="1" width="20.42578125" bestFit="1" customWidth="1"/>
    <col min="2" max="2" width="36.5703125" bestFit="1" customWidth="1"/>
    <col min="3" max="3" width="19.140625" bestFit="1" customWidth="1"/>
    <col min="4" max="4" width="16.42578125" bestFit="1" customWidth="1"/>
    <col min="5" max="5" width="11.7109375" bestFit="1" customWidth="1"/>
    <col min="6" max="6" width="15.28515625" bestFit="1" customWidth="1"/>
    <col min="7" max="7" width="12.5703125" bestFit="1" customWidth="1"/>
    <col min="8" max="8" width="15.140625" bestFit="1" customWidth="1"/>
  </cols>
  <sheetData>
    <row r="1" spans="1:13">
      <c r="A1" s="10" t="s">
        <v>0</v>
      </c>
      <c r="B1" s="11" t="s">
        <v>1</v>
      </c>
      <c r="C1" s="10" t="s">
        <v>2</v>
      </c>
      <c r="D1" s="12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J1" s="1"/>
      <c r="K1" s="1"/>
      <c r="L1" s="1"/>
    </row>
    <row r="2" spans="1:13">
      <c r="A2" s="2">
        <v>46027</v>
      </c>
      <c r="B2" s="3" t="s">
        <v>8</v>
      </c>
      <c r="C2" s="6">
        <v>3500</v>
      </c>
      <c r="D2" s="5">
        <v>12</v>
      </c>
      <c r="E2" s="6">
        <f>C2*D2</f>
        <v>42000</v>
      </c>
      <c r="F2" s="6">
        <f>E2*$M$9</f>
        <v>2940.0000000000005</v>
      </c>
      <c r="G2" s="6">
        <f>E2-F2</f>
        <v>39060</v>
      </c>
      <c r="H2" s="4" t="str">
        <f>IF(AND(G2&gt;1000,D2&gt;15),"Completa","")</f>
        <v/>
      </c>
      <c r="I2" s="1"/>
    </row>
    <row r="3" spans="1:13">
      <c r="A3" s="2">
        <v>46028</v>
      </c>
      <c r="B3" s="3" t="s">
        <v>9</v>
      </c>
      <c r="C3" s="6">
        <v>900</v>
      </c>
      <c r="D3" s="5">
        <v>50</v>
      </c>
      <c r="E3" s="6">
        <f t="shared" ref="E3:E11" si="0">C3*D3</f>
        <v>45000</v>
      </c>
      <c r="F3" s="6">
        <f t="shared" ref="F3:F11" si="1">E3*$M$9</f>
        <v>3150.0000000000005</v>
      </c>
      <c r="G3" s="6">
        <f t="shared" ref="G3:G11" si="2">E3-F3</f>
        <v>41850</v>
      </c>
      <c r="H3" s="4" t="str">
        <f t="shared" ref="H3:H11" si="3">IF(AND(G3&gt;1000,D3&gt;15),"Completa","")</f>
        <v>Completa</v>
      </c>
    </row>
    <row r="4" spans="1:13">
      <c r="A4" s="2">
        <v>46028</v>
      </c>
      <c r="B4" s="3" t="s">
        <v>10</v>
      </c>
      <c r="C4" s="6">
        <v>850</v>
      </c>
      <c r="D4" s="5">
        <v>40</v>
      </c>
      <c r="E4" s="6">
        <f t="shared" si="0"/>
        <v>34000</v>
      </c>
      <c r="F4" s="6">
        <f t="shared" si="1"/>
        <v>2380</v>
      </c>
      <c r="G4" s="6">
        <f t="shared" si="2"/>
        <v>31620</v>
      </c>
      <c r="H4" s="4" t="str">
        <f t="shared" si="3"/>
        <v>Completa</v>
      </c>
    </row>
    <row r="5" spans="1:13">
      <c r="A5" s="2">
        <v>46029</v>
      </c>
      <c r="B5" s="3" t="s">
        <v>11</v>
      </c>
      <c r="C5" s="6">
        <v>700</v>
      </c>
      <c r="D5" s="5">
        <v>25</v>
      </c>
      <c r="E5" s="6">
        <f t="shared" si="0"/>
        <v>17500</v>
      </c>
      <c r="F5" s="6">
        <f t="shared" si="1"/>
        <v>1225.0000000000002</v>
      </c>
      <c r="G5" s="6">
        <f t="shared" si="2"/>
        <v>16275</v>
      </c>
      <c r="H5" s="4" t="str">
        <f t="shared" si="3"/>
        <v>Completa</v>
      </c>
    </row>
    <row r="6" spans="1:13">
      <c r="A6" s="2">
        <v>46029</v>
      </c>
      <c r="B6" s="3" t="s">
        <v>12</v>
      </c>
      <c r="C6" s="6">
        <v>4800</v>
      </c>
      <c r="D6" s="5">
        <v>15</v>
      </c>
      <c r="E6" s="6">
        <f t="shared" si="0"/>
        <v>72000</v>
      </c>
      <c r="F6" s="6">
        <f t="shared" si="1"/>
        <v>5040.0000000000009</v>
      </c>
      <c r="G6" s="6">
        <f t="shared" si="2"/>
        <v>66960</v>
      </c>
      <c r="H6" s="4" t="str">
        <f t="shared" si="3"/>
        <v/>
      </c>
    </row>
    <row r="7" spans="1:13">
      <c r="A7" s="2">
        <v>46030</v>
      </c>
      <c r="B7" s="3" t="s">
        <v>13</v>
      </c>
      <c r="C7" s="6">
        <v>1600</v>
      </c>
      <c r="D7" s="5">
        <v>10</v>
      </c>
      <c r="E7" s="6">
        <f t="shared" si="0"/>
        <v>16000</v>
      </c>
      <c r="F7" s="6">
        <f t="shared" si="1"/>
        <v>1120</v>
      </c>
      <c r="G7" s="6">
        <f t="shared" si="2"/>
        <v>14880</v>
      </c>
      <c r="H7" s="4" t="str">
        <f t="shared" si="3"/>
        <v/>
      </c>
    </row>
    <row r="8" spans="1:13">
      <c r="A8" s="2">
        <v>46030</v>
      </c>
      <c r="B8" s="3" t="s">
        <v>14</v>
      </c>
      <c r="C8" s="6">
        <v>4200</v>
      </c>
      <c r="D8" s="5">
        <v>18</v>
      </c>
      <c r="E8" s="6">
        <f t="shared" si="0"/>
        <v>75600</v>
      </c>
      <c r="F8" s="6">
        <f t="shared" si="1"/>
        <v>5292.0000000000009</v>
      </c>
      <c r="G8" s="6">
        <f t="shared" si="2"/>
        <v>70308</v>
      </c>
      <c r="H8" s="4" t="str">
        <f t="shared" si="3"/>
        <v>Completa</v>
      </c>
    </row>
    <row r="9" spans="1:13">
      <c r="A9" s="2">
        <v>46031</v>
      </c>
      <c r="B9" s="3" t="s">
        <v>15</v>
      </c>
      <c r="C9" s="6">
        <v>2500</v>
      </c>
      <c r="D9" s="5">
        <v>14</v>
      </c>
      <c r="E9" s="6">
        <f t="shared" si="0"/>
        <v>35000</v>
      </c>
      <c r="F9" s="6">
        <f t="shared" si="1"/>
        <v>2450.0000000000005</v>
      </c>
      <c r="G9" s="6">
        <f t="shared" si="2"/>
        <v>32550</v>
      </c>
      <c r="H9" s="4" t="str">
        <f t="shared" si="3"/>
        <v/>
      </c>
      <c r="M9" s="9">
        <v>7.0000000000000007E-2</v>
      </c>
    </row>
    <row r="10" spans="1:13">
      <c r="A10" s="2">
        <v>46031</v>
      </c>
      <c r="B10" s="3" t="s">
        <v>16</v>
      </c>
      <c r="C10" s="6">
        <v>2200</v>
      </c>
      <c r="D10" s="5">
        <v>20</v>
      </c>
      <c r="E10" s="6">
        <f t="shared" si="0"/>
        <v>44000</v>
      </c>
      <c r="F10" s="6">
        <f t="shared" si="1"/>
        <v>3080.0000000000005</v>
      </c>
      <c r="G10" s="6">
        <f t="shared" si="2"/>
        <v>40920</v>
      </c>
      <c r="H10" s="4" t="str">
        <f t="shared" si="3"/>
        <v>Completa</v>
      </c>
    </row>
    <row r="11" spans="1:13" ht="29.25">
      <c r="A11" s="2">
        <v>46032</v>
      </c>
      <c r="B11" s="3" t="s">
        <v>17</v>
      </c>
      <c r="C11" s="6">
        <v>6500</v>
      </c>
      <c r="D11" s="5">
        <v>8</v>
      </c>
      <c r="E11" s="6">
        <f t="shared" si="0"/>
        <v>52000</v>
      </c>
      <c r="F11" s="6">
        <f t="shared" si="1"/>
        <v>3640.0000000000005</v>
      </c>
      <c r="G11" s="6">
        <f t="shared" si="2"/>
        <v>48360</v>
      </c>
      <c r="H11" s="4" t="str">
        <f t="shared" si="3"/>
        <v/>
      </c>
    </row>
    <row r="12" spans="1:13">
      <c r="B12" t="s">
        <v>18</v>
      </c>
      <c r="C12">
        <f>MAX(D2:D11)</f>
        <v>50</v>
      </c>
    </row>
    <row r="13" spans="1:13">
      <c r="B13" t="s">
        <v>19</v>
      </c>
      <c r="C13" s="8">
        <f>AVERAGE(G2:G11)</f>
        <v>40278.300000000003</v>
      </c>
    </row>
    <row r="14" spans="1:13">
      <c r="B14" t="s">
        <v>20</v>
      </c>
      <c r="C14" s="7">
        <f>SUMIF(A2:A11,A2,G2:G11)</f>
        <v>39060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2026-02-05T00:10:36Z</dcterms:created>
  <dcterms:modified xsi:type="dcterms:W3CDTF">2026-02-07T19:50:15Z</dcterms:modified>
  <cp:category/>
  <cp:contentStatus/>
</cp:coreProperties>
</file>