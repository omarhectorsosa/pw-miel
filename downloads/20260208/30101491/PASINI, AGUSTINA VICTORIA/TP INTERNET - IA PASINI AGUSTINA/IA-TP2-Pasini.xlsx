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8A6EAA04-AE04-4AC6-A6F4-0D58A757335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B15" i="1"/>
  <c r="B14" i="1"/>
  <c r="B13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2" i="1"/>
  <c r="F2" i="1" l="1"/>
  <c r="G2" i="1" s="1"/>
</calcChain>
</file>

<file path=xl/sharedStrings.xml><?xml version="1.0" encoding="utf-8"?>
<sst xmlns="http://schemas.openxmlformats.org/spreadsheetml/2006/main" count="22" uniqueCount="22">
  <si>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</si>
  <si>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</si>
  <si>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</si>
  <si>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</si>
  <si>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</si>
  <si>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</si>
  <si>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</si>
  <si>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</si>
  <si>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Leche entera 1L</t>
  </si>
  <si>
    <t>Pan lactal</t>
  </si>
  <si>
    <t>Arroz 1kg</t>
  </si>
  <si>
    <t>Fideos secos 500g</t>
  </si>
  <si>
    <t>Aceite de girasol 1.5L</t>
  </si>
  <si>
    <t>Azúcar 1kg</t>
  </si>
  <si>
    <t>Gaseosa cola 2.25L</t>
  </si>
  <si>
    <t>Yerba mate 1kg</t>
  </si>
  <si>
    <t>Café molido 500g</t>
  </si>
  <si>
    <t>Manteca 200g</t>
  </si>
  <si>
    <t>Producto mas vendido</t>
  </si>
  <si>
    <t>Promedio de ventas</t>
  </si>
  <si>
    <t>Ventas por fecha</t>
  </si>
  <si>
    <t>PASINI AGUSTINA VICTORIA - 43916507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</si>
</sst>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9" fontId="0" fillId="0" borderId="0" xfId="0" applyNumberFormat="1"/>
    <xf numFmtId="166" fontId="0" fillId="0" borderId="1" xfId="0" applyNumberFormat="1" applyBorder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A13" sqref="A13:A15"/>
    </sheetView>
  </sheetViews>
  <sheetFormatPr defaultRowHeight="15"/>
  <cols>
    <col min="1" max="1" width="20.42578125" bestFit="1" customWidth="1"/>
    <col min="2" max="2" width="19.28515625" bestFit="1" customWidth="1"/>
    <col min="3" max="3" width="13.7109375" bestFit="1" customWidth="1"/>
    <col min="4" max="4" width="16" bestFit="1" customWidth="1"/>
    <col min="5" max="5" width="11.7109375" bestFit="1" customWidth="1"/>
    <col min="6" max="6" width="14.85546875" bestFit="1" customWidth="1"/>
    <col min="7" max="7" width="12.140625" bestFit="1" customWidth="1"/>
    <col min="8" max="8" width="4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5">
        <v>7.0000000000000007E-2</v>
      </c>
    </row>
    <row r="2" spans="1:13">
      <c r="A2" s="2">
        <v>46055</v>
      </c>
      <c r="B2" s="1" t="s">
        <v>8</v>
      </c>
      <c r="C2" s="3">
        <v>1.2</v>
      </c>
      <c r="D2" s="1">
        <v>15</v>
      </c>
      <c r="E2" s="6">
        <f>+C2*D2</f>
        <v>18</v>
      </c>
      <c r="F2" s="6">
        <f>+E2*$M$1</f>
        <v>1.2600000000000002</v>
      </c>
      <c r="G2" s="6">
        <f>+E2-F2</f>
        <v>16.739999999999998</v>
      </c>
      <c r="H2" s="6" t="str">
        <f>IF(AND(G2&gt;1000,D2&gt;15),"Completa","")</f>
        <v/>
      </c>
    </row>
    <row r="3" spans="1:13">
      <c r="A3" s="2">
        <v>46055</v>
      </c>
      <c r="B3" s="1" t="s">
        <v>9</v>
      </c>
      <c r="C3" s="3">
        <v>1.8</v>
      </c>
      <c r="D3" s="1">
        <v>8</v>
      </c>
      <c r="E3" s="6">
        <f t="shared" ref="E3:E11" si="0">+C3*D3</f>
        <v>14.4</v>
      </c>
      <c r="F3" s="6">
        <f t="shared" ref="F3:F11" si="1">+E3*$M$1</f>
        <v>1.0080000000000002</v>
      </c>
      <c r="G3" s="6">
        <f t="shared" ref="G3:G11" si="2">+E3-F3</f>
        <v>13.391999999999999</v>
      </c>
      <c r="H3" s="6" t="str">
        <f t="shared" ref="H3:H11" si="3">IF(AND(G3&gt;1000,D3&gt;15),"Completa","")</f>
        <v/>
      </c>
    </row>
    <row r="4" spans="1:13">
      <c r="A4" s="2">
        <v>46083</v>
      </c>
      <c r="B4" s="1" t="s">
        <v>10</v>
      </c>
      <c r="C4" s="3">
        <v>1.5</v>
      </c>
      <c r="D4" s="1">
        <v>12</v>
      </c>
      <c r="E4" s="6">
        <f t="shared" si="0"/>
        <v>18</v>
      </c>
      <c r="F4" s="6">
        <f t="shared" si="1"/>
        <v>1.2600000000000002</v>
      </c>
      <c r="G4" s="6">
        <f t="shared" si="2"/>
        <v>16.739999999999998</v>
      </c>
      <c r="H4" s="6" t="str">
        <f t="shared" si="3"/>
        <v/>
      </c>
    </row>
    <row r="5" spans="1:13">
      <c r="A5" s="2">
        <v>46083</v>
      </c>
      <c r="B5" s="1" t="s">
        <v>11</v>
      </c>
      <c r="C5" s="4">
        <v>900</v>
      </c>
      <c r="D5" s="1">
        <v>20</v>
      </c>
      <c r="E5" s="6">
        <f t="shared" si="0"/>
        <v>18000</v>
      </c>
      <c r="F5" s="6">
        <f t="shared" si="1"/>
        <v>1260.0000000000002</v>
      </c>
      <c r="G5" s="6">
        <f t="shared" si="2"/>
        <v>16740</v>
      </c>
      <c r="H5" s="6" t="str">
        <f t="shared" si="3"/>
        <v>Completa</v>
      </c>
    </row>
    <row r="6" spans="1:13">
      <c r="A6" s="2">
        <v>46114</v>
      </c>
      <c r="B6" s="1" t="s">
        <v>12</v>
      </c>
      <c r="C6" s="3">
        <v>3.2</v>
      </c>
      <c r="D6" s="1">
        <v>6</v>
      </c>
      <c r="E6" s="6">
        <f t="shared" si="0"/>
        <v>19.200000000000003</v>
      </c>
      <c r="F6" s="6">
        <f t="shared" si="1"/>
        <v>1.3440000000000003</v>
      </c>
      <c r="G6" s="6">
        <f t="shared" si="2"/>
        <v>17.856000000000002</v>
      </c>
      <c r="H6" s="6" t="str">
        <f t="shared" si="3"/>
        <v/>
      </c>
    </row>
    <row r="7" spans="1:13">
      <c r="A7" s="2">
        <v>46114</v>
      </c>
      <c r="B7" s="1" t="s">
        <v>13</v>
      </c>
      <c r="C7" s="3">
        <v>1.1000000000000001</v>
      </c>
      <c r="D7" s="1">
        <v>14</v>
      </c>
      <c r="E7" s="6">
        <f t="shared" si="0"/>
        <v>15.400000000000002</v>
      </c>
      <c r="F7" s="6">
        <f t="shared" si="1"/>
        <v>1.0780000000000003</v>
      </c>
      <c r="G7" s="6">
        <f t="shared" si="2"/>
        <v>14.322000000000003</v>
      </c>
      <c r="H7" s="6" t="str">
        <f t="shared" si="3"/>
        <v/>
      </c>
    </row>
    <row r="8" spans="1:13">
      <c r="A8" s="2">
        <v>46144</v>
      </c>
      <c r="B8" s="1" t="s">
        <v>14</v>
      </c>
      <c r="C8" s="3">
        <v>2.4</v>
      </c>
      <c r="D8" s="1">
        <v>10</v>
      </c>
      <c r="E8" s="6">
        <f t="shared" si="0"/>
        <v>24</v>
      </c>
      <c r="F8" s="6">
        <f t="shared" si="1"/>
        <v>1.6800000000000002</v>
      </c>
      <c r="G8" s="6">
        <f t="shared" si="2"/>
        <v>22.32</v>
      </c>
      <c r="H8" s="6" t="str">
        <f t="shared" si="3"/>
        <v/>
      </c>
    </row>
    <row r="9" spans="1:13">
      <c r="A9" s="2">
        <v>46144</v>
      </c>
      <c r="B9" s="1" t="s">
        <v>15</v>
      </c>
      <c r="C9" s="3">
        <v>4.5</v>
      </c>
      <c r="D9" s="1">
        <v>5</v>
      </c>
      <c r="E9" s="6">
        <f t="shared" si="0"/>
        <v>22.5</v>
      </c>
      <c r="F9" s="6">
        <f t="shared" si="1"/>
        <v>1.5750000000000002</v>
      </c>
      <c r="G9" s="6">
        <f t="shared" si="2"/>
        <v>20.925000000000001</v>
      </c>
      <c r="H9" s="6" t="str">
        <f t="shared" si="3"/>
        <v/>
      </c>
    </row>
    <row r="10" spans="1:13">
      <c r="A10" s="2">
        <v>46175</v>
      </c>
      <c r="B10" s="1" t="s">
        <v>16</v>
      </c>
      <c r="C10" s="3">
        <v>3.8</v>
      </c>
      <c r="D10" s="1">
        <v>4</v>
      </c>
      <c r="E10" s="6">
        <f t="shared" si="0"/>
        <v>15.2</v>
      </c>
      <c r="F10" s="6">
        <f t="shared" si="1"/>
        <v>1.0640000000000001</v>
      </c>
      <c r="G10" s="6">
        <f t="shared" si="2"/>
        <v>14.135999999999999</v>
      </c>
      <c r="H10" s="6" t="str">
        <f t="shared" si="3"/>
        <v/>
      </c>
    </row>
    <row r="11" spans="1:13">
      <c r="A11" s="2">
        <v>46175</v>
      </c>
      <c r="B11" s="1" t="s">
        <v>17</v>
      </c>
      <c r="C11" s="3">
        <v>1.7</v>
      </c>
      <c r="D11" s="1">
        <v>9</v>
      </c>
      <c r="E11" s="6">
        <f t="shared" si="0"/>
        <v>15.299999999999999</v>
      </c>
      <c r="F11" s="6">
        <f t="shared" si="1"/>
        <v>1.071</v>
      </c>
      <c r="G11" s="6">
        <f t="shared" si="2"/>
        <v>14.228999999999999</v>
      </c>
      <c r="H11" s="6" t="str">
        <f t="shared" si="3"/>
        <v/>
      </c>
    </row>
    <row r="13" spans="1:13">
      <c r="A13" s="8" t="s">
        <v>18</v>
      </c>
      <c r="B13">
        <f>MAX(D2:D11)</f>
        <v>20</v>
      </c>
    </row>
    <row r="14" spans="1:13">
      <c r="A14" s="8" t="s">
        <v>19</v>
      </c>
      <c r="B14" s="7">
        <f>AVERAGE(E2:E11)</f>
        <v>1816.2000000000003</v>
      </c>
    </row>
    <row r="15" spans="1:13">
      <c r="A15" s="8" t="s">
        <v>20</v>
      </c>
      <c r="B15" s="7">
        <f>SUMIF(A2:A11,A2,G2:G11)</f>
        <v>30.131999999999998</v>
      </c>
    </row>
    <row r="19" spans="1:1">
      <c r="A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2026-02-06T16:34:33Z</dcterms:created>
  <dcterms:modified xsi:type="dcterms:W3CDTF">2026-02-06T17:00:45Z</dcterms:modified>
  <cp:category/>
  <cp:contentStatus/>
</cp:coreProperties>
</file>