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C1BF26EA-903D-4726-9E49-B8DEA280505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E2" i="1"/>
  <c r="E3" i="1"/>
  <c r="E4" i="1"/>
  <c r="E5" i="1"/>
  <c r="E6" i="1"/>
  <c r="E7" i="1"/>
  <c r="E8" i="1"/>
  <c r="E9" i="1"/>
  <c r="E10" i="1"/>
  <c r="E11" i="1"/>
  <c r="B13" i="1"/>
  <c r="F11" i="1" l="1"/>
  <c r="G11" i="1"/>
  <c r="H11" i="1" s="1"/>
  <c r="F10" i="1"/>
  <c r="G10" i="1"/>
  <c r="H10" i="1" s="1"/>
  <c r="F9" i="1"/>
  <c r="G9" i="1"/>
  <c r="H9" i="1" s="1"/>
  <c r="F8" i="1"/>
  <c r="G8" i="1"/>
  <c r="H8" i="1" s="1"/>
  <c r="F7" i="1"/>
  <c r="G7" i="1"/>
  <c r="H7" i="1" s="1"/>
  <c r="F6" i="1"/>
  <c r="G6" i="1"/>
  <c r="H6" i="1" s="1"/>
  <c r="F5" i="1"/>
  <c r="G5" i="1"/>
  <c r="H5" i="1" s="1"/>
  <c r="F4" i="1"/>
  <c r="G4" i="1"/>
  <c r="H4" i="1" s="1"/>
  <c r="F3" i="1"/>
  <c r="G3" i="1"/>
  <c r="H3" i="1" s="1"/>
  <c r="F2" i="1"/>
  <c r="G2" i="1"/>
  <c r="H2" i="1" l="1"/>
</calcChain>
</file>

<file path=xl/sharedStrings.xml><?xml version="1.0" encoding="utf-8"?>
<sst xmlns="http://schemas.openxmlformats.org/spreadsheetml/2006/main" count="21" uniqueCount="21">
  <si>
    <t>Fecha</t>
  </si>
  <si>
    <t xml:space="preserve">Producto </t>
  </si>
  <si>
    <t>Precio Unitario</t>
  </si>
  <si>
    <t>Cantidad Vendida</t>
  </si>
  <si>
    <t>Total Ventas</t>
  </si>
  <si>
    <t>Total descuentos</t>
  </si>
  <si>
    <t>Ventas Netas</t>
  </si>
  <si>
    <t>Estado de venta</t>
  </si>
  <si>
    <t>Vestido Midi Floral SHEIN</t>
  </si>
  <si>
    <t>Top Rib Crop SHEIN</t>
  </si>
  <si>
    <t>Pantalón Cargo Wide Leg SHEIN</t>
  </si>
  <si>
    <t>Remera Oversize Gráfica SHEIN</t>
  </si>
  <si>
    <t>Buzo Hoodie Casual SHEIN</t>
  </si>
  <si>
    <t>Falda Plisada SHEIN</t>
  </si>
  <si>
    <t>Campera Denim Clásica SHEIN</t>
  </si>
  <si>
    <t>Blusa Off-Shoulder SHEIN</t>
  </si>
  <si>
    <t>Short Deportivo SHEIN</t>
  </si>
  <si>
    <t>Body Negro Ajustado SHEIN</t>
  </si>
  <si>
    <t>Producto Más Vendido</t>
  </si>
  <si>
    <t>Promedio de Ventas</t>
  </si>
  <si>
    <t>Ventas por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</si>
</sst>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$-2C0A]\ 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  <xf numFmtId="2" fontId="0" fillId="0" borderId="0" xfId="0" applyNumberFormat="1"/>
    <xf numFmtId="1" fontId="0" fillId="0" borderId="0" xfId="0" applyNumberFormat="1" applyAlignment="1">
      <alignment wrapText="1"/>
    </xf>
    <xf numFmtId="167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67" formatCode="[$$-2C0A]\ #,##0.00"/>
    </dxf>
    <dxf>
      <numFmt numFmtId="167" formatCode="[$$-2C0A]\ #,##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FA9963-35FF-4517-9131-27EDF02760C8}" name="TablaTP2IA" displayName="TablaTP2IA" ref="A1:H11" totalsRowShown="0">
  <autoFilter ref="A1:H11" xr:uid="{03FA9963-35FF-4517-9131-27EDF02760C8}"/>
  <tableColumns count="8">
    <tableColumn id="1" xr3:uid="{F6A9AC14-38B6-41B3-B28E-644E472C8293}" name="Fecha"/>
    <tableColumn id="2" xr3:uid="{21B243A1-F98D-44BF-BA3E-AEA9EF52CC27}" name="Producto "/>
    <tableColumn id="3" xr3:uid="{C6747A44-171E-4DF2-B578-6F16DC0CAF5F}" name="Precio Unitario" dataDxfId="3"/>
    <tableColumn id="4" xr3:uid="{7B7B2310-1997-4569-BB2C-65FE9FEB3CA4}" name="Cantidad Vendida"/>
    <tableColumn id="6" xr3:uid="{FF4F5A96-C9FC-4FFC-A5D4-952D47144D02}" name="Total Ventas" dataDxfId="2">
      <calculatedColumnFormula>VALUE(SUBSTITUTE(TablaTP2IA[[#This Row],[Precio Unitario]],",",","))*TablaTP2IA[[#This Row],[Cantidad Vendida]]</calculatedColumnFormula>
    </tableColumn>
    <tableColumn id="5" xr3:uid="{F5112091-A200-450B-8D1B-E56363543930}" name="Total descuentos"/>
    <tableColumn id="7" xr3:uid="{F27109AB-BA09-43EF-8B76-A46DCE8C39E1}" name="Ventas Netas" dataDxfId="1">
      <calculatedColumnFormula>TablaTP2IA[[#This Row],[Total Ventas]]-TablaTP2IA[[#This Row],[Total descuentos]]</calculatedColumnFormula>
    </tableColumn>
    <tableColumn id="8" xr3:uid="{722DD2E9-F285-41DC-9315-2B6F99B0BAA4}" name="Estado de venta" dataDxfId="0">
      <calculatedColumnFormula>IF(AND(TablaTP2IA[[#This Row],[Ventas Netas]]&gt;1000,TablaTP2IA[[#This Row],[Cantidad Vendida]]&gt;15),"Completa","")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B15" sqref="B15"/>
    </sheetView>
  </sheetViews>
  <sheetFormatPr defaultRowHeight="15"/>
  <cols>
    <col min="1" max="1" width="16.5703125" customWidth="1"/>
    <col min="2" max="2" width="36.5703125" bestFit="1" customWidth="1"/>
    <col min="3" max="3" width="17" bestFit="1" customWidth="1"/>
    <col min="4" max="4" width="19" bestFit="1" customWidth="1"/>
    <col min="5" max="5" width="36.5703125" bestFit="1" customWidth="1"/>
    <col min="6" max="6" width="18.28515625" customWidth="1"/>
    <col min="7" max="7" width="14.85546875" bestFit="1" customWidth="1"/>
    <col min="8" max="8" width="18.28515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46037</v>
      </c>
      <c r="B2" t="s">
        <v>8</v>
      </c>
      <c r="C2" s="8">
        <v>18000.990000000002</v>
      </c>
      <c r="D2">
        <v>7</v>
      </c>
      <c r="E2" s="8">
        <f>VALUE(SUBSTITUTE(TablaTP2IA[[#This Row],[Precio Unitario]],",",","))*TablaTP2IA[[#This Row],[Cantidad Vendida]]</f>
        <v>126006.93000000001</v>
      </c>
      <c r="F2" s="2">
        <f>TablaTP2IA[[#This Row],[Total Ventas]]*7%</f>
        <v>8820.4851000000017</v>
      </c>
      <c r="G2">
        <f>TablaTP2IA[[#This Row],[Total Ventas]]-TablaTP2IA[[#This Row],[Total descuentos]]</f>
        <v>117186.4449</v>
      </c>
      <c r="H2" t="str">
        <f>IF(AND(TablaTP2IA[[#This Row],[Ventas Netas]]&gt;1000,TablaTP2IA[[#This Row],[Cantidad Vendida]]&gt;15),"Completa","")</f>
        <v/>
      </c>
    </row>
    <row r="3" spans="1:8">
      <c r="A3" s="1">
        <v>46039</v>
      </c>
      <c r="B3" t="s">
        <v>9</v>
      </c>
      <c r="C3" s="8">
        <v>9000.5</v>
      </c>
      <c r="D3">
        <v>22</v>
      </c>
      <c r="E3" s="8">
        <f>VALUE(SUBSTITUTE(TablaTP2IA[[#This Row],[Precio Unitario]],",",","))*TablaTP2IA[[#This Row],[Cantidad Vendida]]</f>
        <v>198011</v>
      </c>
      <c r="F3" s="8">
        <f>TablaTP2IA[[#This Row],[Total Ventas]]*7%</f>
        <v>13860.77</v>
      </c>
      <c r="G3" s="8">
        <f>TablaTP2IA[[#This Row],[Total Ventas]]-TablaTP2IA[[#This Row],[Total descuentos]]</f>
        <v>184150.23</v>
      </c>
      <c r="H3" t="str">
        <f>IF(AND(TablaTP2IA[[#This Row],[Ventas Netas]]&gt;1000,TablaTP2IA[[#This Row],[Cantidad Vendida]]&gt;15),"Completa","")</f>
        <v>Completa</v>
      </c>
    </row>
    <row r="4" spans="1:8">
      <c r="A4" s="1">
        <v>46042</v>
      </c>
      <c r="B4" t="s">
        <v>10</v>
      </c>
      <c r="C4" s="8">
        <v>24000</v>
      </c>
      <c r="D4">
        <v>25</v>
      </c>
      <c r="E4" s="8">
        <f>VALUE(SUBSTITUTE(TablaTP2IA[[#This Row],[Precio Unitario]],",",","))*TablaTP2IA[[#This Row],[Cantidad Vendida]]</f>
        <v>600000</v>
      </c>
      <c r="F4" s="8">
        <f>TablaTP2IA[[#This Row],[Total Ventas]]*7%</f>
        <v>42000.000000000007</v>
      </c>
      <c r="G4" s="8">
        <f>TablaTP2IA[[#This Row],[Total Ventas]]-TablaTP2IA[[#This Row],[Total descuentos]]</f>
        <v>558000</v>
      </c>
      <c r="H4" t="str">
        <f>IF(AND(TablaTP2IA[[#This Row],[Ventas Netas]]&gt;1000,TablaTP2IA[[#This Row],[Cantidad Vendida]]&gt;15),"Completa","")</f>
        <v>Completa</v>
      </c>
    </row>
    <row r="5" spans="1:8">
      <c r="A5" s="1">
        <v>46044</v>
      </c>
      <c r="B5" t="s">
        <v>11</v>
      </c>
      <c r="C5" s="8">
        <v>12000.99</v>
      </c>
      <c r="D5">
        <v>15</v>
      </c>
      <c r="E5" s="8">
        <f>VALUE(SUBSTITUTE(TablaTP2IA[[#This Row],[Precio Unitario]],",",","))*TablaTP2IA[[#This Row],[Cantidad Vendida]]</f>
        <v>180014.85</v>
      </c>
      <c r="F5" s="8">
        <f>TablaTP2IA[[#This Row],[Total Ventas]]*7%</f>
        <v>12601.039500000001</v>
      </c>
      <c r="G5" s="8">
        <f>TablaTP2IA[[#This Row],[Total Ventas]]-TablaTP2IA[[#This Row],[Total descuentos]]</f>
        <v>167413.81049999999</v>
      </c>
      <c r="H5" t="str">
        <f>IF(AND(TablaTP2IA[[#This Row],[Ventas Netas]]&gt;1000,TablaTP2IA[[#This Row],[Cantidad Vendida]]&gt;15),"Completa","")</f>
        <v/>
      </c>
    </row>
    <row r="6" spans="1:8">
      <c r="A6" s="1">
        <v>46045</v>
      </c>
      <c r="B6" t="s">
        <v>12</v>
      </c>
      <c r="C6" s="8">
        <v>32000.99</v>
      </c>
      <c r="D6">
        <v>8</v>
      </c>
      <c r="E6" s="8">
        <f>VALUE(SUBSTITUTE(TablaTP2IA[[#This Row],[Precio Unitario]],",",","))*TablaTP2IA[[#This Row],[Cantidad Vendida]]</f>
        <v>256007.92</v>
      </c>
      <c r="F6" s="8">
        <f>TablaTP2IA[[#This Row],[Total Ventas]]*7%</f>
        <v>17920.554400000001</v>
      </c>
      <c r="G6" s="8">
        <f>TablaTP2IA[[#This Row],[Total Ventas]]-TablaTP2IA[[#This Row],[Total descuentos]]</f>
        <v>238087.36560000002</v>
      </c>
      <c r="H6" t="str">
        <f>IF(AND(TablaTP2IA[[#This Row],[Ventas Netas]]&gt;1000,TablaTP2IA[[#This Row],[Cantidad Vendida]]&gt;15),"Completa","")</f>
        <v/>
      </c>
    </row>
    <row r="7" spans="1:8">
      <c r="A7" s="1">
        <v>46047</v>
      </c>
      <c r="B7" t="s">
        <v>13</v>
      </c>
      <c r="C7" s="8">
        <v>16000.75</v>
      </c>
      <c r="D7">
        <v>6</v>
      </c>
      <c r="E7" s="8">
        <f>VALUE(SUBSTITUTE(TablaTP2IA[[#This Row],[Precio Unitario]],",",","))*TablaTP2IA[[#This Row],[Cantidad Vendida]]</f>
        <v>96004.5</v>
      </c>
      <c r="F7" s="8">
        <f>TablaTP2IA[[#This Row],[Total Ventas]]*7%</f>
        <v>6720.3150000000005</v>
      </c>
      <c r="G7" s="8">
        <f>TablaTP2IA[[#This Row],[Total Ventas]]-TablaTP2IA[[#This Row],[Total descuentos]]</f>
        <v>89284.184999999998</v>
      </c>
      <c r="H7" t="str">
        <f>IF(AND(TablaTP2IA[[#This Row],[Ventas Netas]]&gt;1000,TablaTP2IA[[#This Row],[Cantidad Vendida]]&gt;15),"Completa","")</f>
        <v/>
      </c>
    </row>
    <row r="8" spans="1:8">
      <c r="A8" s="1">
        <v>46050</v>
      </c>
      <c r="B8" t="s">
        <v>14</v>
      </c>
      <c r="C8" s="8">
        <v>29000</v>
      </c>
      <c r="D8">
        <v>24</v>
      </c>
      <c r="E8" s="8">
        <f>VALUE(SUBSTITUTE(TablaTP2IA[[#This Row],[Precio Unitario]],",",","))*TablaTP2IA[[#This Row],[Cantidad Vendida]]</f>
        <v>696000</v>
      </c>
      <c r="F8" s="8">
        <f>TablaTP2IA[[#This Row],[Total Ventas]]*7%</f>
        <v>48720.000000000007</v>
      </c>
      <c r="G8" s="8">
        <f>TablaTP2IA[[#This Row],[Total Ventas]]-TablaTP2IA[[#This Row],[Total descuentos]]</f>
        <v>647280</v>
      </c>
      <c r="H8" t="str">
        <f>IF(AND(TablaTP2IA[[#This Row],[Ventas Netas]]&gt;1000,TablaTP2IA[[#This Row],[Cantidad Vendida]]&gt;15),"Completa","")</f>
        <v>Completa</v>
      </c>
    </row>
    <row r="9" spans="1:8">
      <c r="A9" s="1">
        <v>46052</v>
      </c>
      <c r="B9" t="s">
        <v>15</v>
      </c>
      <c r="C9" s="8">
        <v>14000.25</v>
      </c>
      <c r="D9">
        <v>10</v>
      </c>
      <c r="E9" s="8">
        <f>VALUE(SUBSTITUTE(TablaTP2IA[[#This Row],[Precio Unitario]],",",","))*TablaTP2IA[[#This Row],[Cantidad Vendida]]</f>
        <v>140002.5</v>
      </c>
      <c r="F9" s="8">
        <f>TablaTP2IA[[#This Row],[Total Ventas]]*7%</f>
        <v>9800.1750000000011</v>
      </c>
      <c r="G9" s="8">
        <f>TablaTP2IA[[#This Row],[Total Ventas]]-TablaTP2IA[[#This Row],[Total descuentos]]</f>
        <v>130202.325</v>
      </c>
      <c r="H9" t="str">
        <f>IF(AND(TablaTP2IA[[#This Row],[Ventas Netas]]&gt;1000,TablaTP2IA[[#This Row],[Cantidad Vendida]]&gt;15),"Completa","")</f>
        <v/>
      </c>
    </row>
    <row r="10" spans="1:8">
      <c r="A10" s="1">
        <v>46054</v>
      </c>
      <c r="B10" t="s">
        <v>16</v>
      </c>
      <c r="C10" s="8">
        <v>11000.5</v>
      </c>
      <c r="D10">
        <v>19</v>
      </c>
      <c r="E10" s="8">
        <f>VALUE(SUBSTITUTE(TablaTP2IA[[#This Row],[Precio Unitario]],",",","))*TablaTP2IA[[#This Row],[Cantidad Vendida]]</f>
        <v>209009.5</v>
      </c>
      <c r="F10" s="8">
        <f>TablaTP2IA[[#This Row],[Total Ventas]]*7%</f>
        <v>14630.665000000001</v>
      </c>
      <c r="G10" s="8">
        <f>TablaTP2IA[[#This Row],[Total Ventas]]-TablaTP2IA[[#This Row],[Total descuentos]]</f>
        <v>194378.83499999999</v>
      </c>
      <c r="H10" t="str">
        <f>IF(AND(TablaTP2IA[[#This Row],[Ventas Netas]]&gt;1000,TablaTP2IA[[#This Row],[Cantidad Vendida]]&gt;15),"Completa","")</f>
        <v>Completa</v>
      </c>
    </row>
    <row r="11" spans="1:8">
      <c r="A11" s="1">
        <v>46056</v>
      </c>
      <c r="B11" t="s">
        <v>17</v>
      </c>
      <c r="C11" s="8">
        <v>13000.8</v>
      </c>
      <c r="D11">
        <v>13</v>
      </c>
      <c r="E11" s="8">
        <f>VALUE(SUBSTITUTE(TablaTP2IA[[#This Row],[Precio Unitario]],",",","))*TablaTP2IA[[#This Row],[Cantidad Vendida]]</f>
        <v>169010.4</v>
      </c>
      <c r="F11" s="8">
        <f>TablaTP2IA[[#This Row],[Total Ventas]]*7%</f>
        <v>11830.728000000001</v>
      </c>
      <c r="G11" s="8">
        <f>TablaTP2IA[[#This Row],[Total Ventas]]-TablaTP2IA[[#This Row],[Total descuentos]]</f>
        <v>157179.67199999999</v>
      </c>
      <c r="H11" t="str">
        <f>IF(AND(TablaTP2IA[[#This Row],[Ventas Netas]]&gt;1000,TablaTP2IA[[#This Row],[Cantidad Vendida]]&gt;15),"Completa","")</f>
        <v/>
      </c>
    </row>
    <row r="13" spans="1:8" ht="30.75">
      <c r="A13" s="3" t="s">
        <v>18</v>
      </c>
      <c r="B13">
        <f>MAX(TablaTP2IA[Cantidad Vendida])</f>
        <v>25</v>
      </c>
    </row>
    <row r="14" spans="1:8" ht="30.75">
      <c r="A14" s="4" t="s">
        <v>19</v>
      </c>
      <c r="B14" s="7">
        <f>AVERAGE(TablaTP2IA[Cantidad Vendida])</f>
        <v>14.9</v>
      </c>
    </row>
    <row r="15" spans="1:8">
      <c r="A15" s="5" t="s">
        <v>20</v>
      </c>
      <c r="B15" s="6">
        <f>SUMIF(TablaTP2IA[Fecha], A2, TablaTP2IA[Ventas Netas])</f>
        <v>117186.4449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2026-02-07T22:37:59Z</dcterms:created>
  <dcterms:modified xsi:type="dcterms:W3CDTF">2026-02-08T00:55:09Z</dcterms:modified>
  <cp:category/>
  <cp:contentStatus/>
</cp:coreProperties>
</file>