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80" documentId="11_7E4E55BF84DCCEE3ED7FF6F99031F45BFA722949" xr6:coauthVersionLast="47" xr6:coauthVersionMax="47" xr10:uidLastSave="{254C05BC-7C80-4E0B-B985-6CCBFC5F212F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 a="1"/>
  <c r="C14" i="1"/>
  <c r="C13" i="1" a="1"/>
  <c r="C13" i="1"/>
  <c r="C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<sst xmlns="http://schemas.openxmlformats.org/spreadsheetml/2006/main" count="21" uniqueCount="21">
  <si>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Fecha</t>
  </si>
  <si>
    <t>Producto</t>
  </si>
  <si>
    <t>Precio unitario (MXN)</t>
  </si>
  <si>
    <t>Cantidad vendida</t>
  </si>
  <si>
    <t>Total de ventas</t>
  </si>
  <si>
    <t>Total descuento</t>
  </si>
  <si>
    <t>Ventas netas</t>
  </si>
  <si>
    <t>Estado de venta</t>
  </si>
  <si>
    <t>Laptop</t>
  </si>
  <si>
    <t>Mouse inalámbrico</t>
  </si>
  <si>
    <t>Teclado mecánico</t>
  </si>
  <si>
    <t>Monitor 24"</t>
  </si>
  <si>
    <t>Auriculares</t>
  </si>
  <si>
    <t>Webcam HD</t>
  </si>
  <si>
    <t>Disco duro externo</t>
  </si>
  <si>
    <t>Memoria USB 64 GB</t>
  </si>
  <si>
    <t>Impresora</t>
  </si>
  <si>
    <t>Router Wi-Fi</t>
  </si>
  <si>
    <t>Producto mas vendido</t>
  </si>
  <si>
    <t>Promedio ventas</t>
  </si>
  <si>
    <t xml:space="preserve">Ventas por 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</si>
</sst>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4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2" xfId="0" applyNumberFormat="1" applyBorder="1"/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14" fontId="0" fillId="0" borderId="4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3" workbookViewId="0">
      <selection activeCell="A12" sqref="A12:C14"/>
    </sheetView>
  </sheetViews>
  <sheetFormatPr defaultRowHeight="15"/>
  <cols>
    <col min="1" max="1" width="13.7109375" customWidth="1"/>
    <col min="2" max="2" width="17" customWidth="1"/>
    <col min="3" max="3" width="20.7109375" customWidth="1"/>
    <col min="5" max="5" width="12.42578125" customWidth="1"/>
    <col min="6" max="6" width="10.85546875" customWidth="1"/>
    <col min="8" max="8" width="11.42578125" customWidth="1"/>
  </cols>
  <sheetData>
    <row r="1" spans="1:9" ht="29.25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"/>
    </row>
    <row r="2" spans="1:9" ht="57.75">
      <c r="A2" s="6">
        <v>46024</v>
      </c>
      <c r="B2" s="4" t="s">
        <v>8</v>
      </c>
      <c r="C2" s="4">
        <v>17</v>
      </c>
      <c r="D2" s="5">
        <v>5</v>
      </c>
      <c r="E2" s="5">
        <f>C2*D2</f>
        <v>85</v>
      </c>
      <c r="F2" s="5">
        <f>SUMPRODUCT(C2:C11,D2:D11)*0.07</f>
        <v>2994.9290000000005</v>
      </c>
      <c r="G2" s="4">
        <f>SUMPRODUCT(C2:C11,D2:D11)*(1-0.07)</f>
        <v>39789.771000000001</v>
      </c>
      <c r="H2" s="4" t="str">
        <f>IF(AND(C2*D2*(1-0.07)&gt;1000, D2&gt;15),"Alta","Baja")</f>
        <v>Baja</v>
      </c>
    </row>
    <row r="3" spans="1:9">
      <c r="A3" s="6">
        <v>46025</v>
      </c>
      <c r="B3" s="4" t="s">
        <v>9</v>
      </c>
      <c r="C3" s="4">
        <v>370</v>
      </c>
      <c r="D3" s="5">
        <v>25</v>
      </c>
      <c r="E3" s="5">
        <f t="shared" ref="E3:E11" si="0">C3*D3</f>
        <v>9250</v>
      </c>
      <c r="F3" s="5">
        <f t="shared" ref="F3:F11" si="1">SUMPRODUCT(C3:C12,D3:D12)*0.07</f>
        <v>2988.9790000000007</v>
      </c>
      <c r="G3" s="4">
        <f t="shared" ref="G3:G11" si="2">SUMPRODUCT(C3:C12,D3:D12)*(1-0.07)</f>
        <v>39710.721000000005</v>
      </c>
      <c r="H3" s="4" t="str">
        <f t="shared" ref="H3:H11" si="3">IF(AND(C3*D3*(1-0.07)&gt;1000, D3&gt;15),"Alta","Baja")</f>
        <v>Alta</v>
      </c>
    </row>
    <row r="4" spans="1:9">
      <c r="A4" s="6">
        <v>46025</v>
      </c>
      <c r="B4" s="4" t="s">
        <v>10</v>
      </c>
      <c r="C4" s="4">
        <v>1.5</v>
      </c>
      <c r="D4" s="5">
        <v>10</v>
      </c>
      <c r="E4" s="5">
        <f t="shared" si="0"/>
        <v>15</v>
      </c>
      <c r="F4" s="5">
        <f t="shared" si="1"/>
        <v>2341.4790000000007</v>
      </c>
      <c r="G4" s="4">
        <f t="shared" si="2"/>
        <v>31108.221000000001</v>
      </c>
      <c r="H4" s="4" t="str">
        <f t="shared" si="3"/>
        <v>Baja</v>
      </c>
    </row>
    <row r="5" spans="1:9">
      <c r="A5" s="6">
        <v>46026</v>
      </c>
      <c r="B5" s="4" t="s">
        <v>11</v>
      </c>
      <c r="C5" s="4">
        <v>4.2</v>
      </c>
      <c r="D5" s="5">
        <v>7</v>
      </c>
      <c r="E5" s="5">
        <f t="shared" si="0"/>
        <v>29.400000000000002</v>
      </c>
      <c r="F5" s="5">
        <f t="shared" si="1"/>
        <v>2340.4290000000005</v>
      </c>
      <c r="G5" s="4">
        <f t="shared" si="2"/>
        <v>31094.271000000001</v>
      </c>
      <c r="H5" s="4" t="str">
        <f t="shared" si="3"/>
        <v>Baja</v>
      </c>
    </row>
    <row r="6" spans="1:9">
      <c r="A6" s="6">
        <v>46027</v>
      </c>
      <c r="B6" s="4" t="s">
        <v>12</v>
      </c>
      <c r="C6" s="4">
        <v>920</v>
      </c>
      <c r="D6" s="5">
        <v>18</v>
      </c>
      <c r="E6" s="5">
        <f t="shared" si="0"/>
        <v>16560</v>
      </c>
      <c r="F6" s="5">
        <f t="shared" si="1"/>
        <v>2338.3710000000005</v>
      </c>
      <c r="G6" s="4">
        <f t="shared" si="2"/>
        <v>31066.929</v>
      </c>
      <c r="H6" s="4" t="str">
        <f t="shared" si="3"/>
        <v>Alta</v>
      </c>
    </row>
    <row r="7" spans="1:9">
      <c r="A7" s="6">
        <v>46027</v>
      </c>
      <c r="B7" s="4" t="s">
        <v>13</v>
      </c>
      <c r="C7" s="4">
        <v>800</v>
      </c>
      <c r="D7" s="5">
        <v>12</v>
      </c>
      <c r="E7" s="5">
        <f t="shared" si="0"/>
        <v>9600</v>
      </c>
      <c r="F7" s="5">
        <f t="shared" si="1"/>
        <v>1179.171</v>
      </c>
      <c r="G7" s="4">
        <f t="shared" si="2"/>
        <v>15666.128999999999</v>
      </c>
      <c r="H7" s="4" t="str">
        <f t="shared" si="3"/>
        <v>Baja</v>
      </c>
    </row>
    <row r="8" spans="1:9">
      <c r="A8" s="6">
        <v>46028</v>
      </c>
      <c r="B8" s="4" t="s">
        <v>14</v>
      </c>
      <c r="C8" s="4">
        <v>1.9</v>
      </c>
      <c r="D8" s="5">
        <v>9</v>
      </c>
      <c r="E8" s="5">
        <f t="shared" si="0"/>
        <v>17.099999999999998</v>
      </c>
      <c r="F8" s="5">
        <f t="shared" si="1"/>
        <v>507.17100000000005</v>
      </c>
      <c r="G8" s="4">
        <f t="shared" si="2"/>
        <v>6738.1289999999999</v>
      </c>
      <c r="H8" s="4" t="str">
        <f t="shared" si="3"/>
        <v>Baja</v>
      </c>
    </row>
    <row r="9" spans="1:9">
      <c r="A9" s="6">
        <v>46028</v>
      </c>
      <c r="B9" s="4" t="s">
        <v>15</v>
      </c>
      <c r="C9" s="4">
        <v>240</v>
      </c>
      <c r="D9" s="5">
        <v>30</v>
      </c>
      <c r="E9" s="5">
        <f t="shared" si="0"/>
        <v>7200</v>
      </c>
      <c r="F9" s="5">
        <f t="shared" si="1"/>
        <v>505.97400000000005</v>
      </c>
      <c r="G9" s="4">
        <f t="shared" si="2"/>
        <v>6722.2259999999997</v>
      </c>
      <c r="H9" s="4" t="str">
        <f t="shared" si="3"/>
        <v>Alta</v>
      </c>
    </row>
    <row r="10" spans="1:9">
      <c r="A10" s="6">
        <v>46029</v>
      </c>
      <c r="B10" s="4" t="s">
        <v>16</v>
      </c>
      <c r="C10" s="4">
        <v>3.2</v>
      </c>
      <c r="D10" s="5">
        <v>4</v>
      </c>
      <c r="E10" s="5">
        <f t="shared" si="0"/>
        <v>12.8</v>
      </c>
      <c r="F10" s="5">
        <f t="shared" si="1"/>
        <v>1.9740000000000002</v>
      </c>
      <c r="G10" s="4">
        <f t="shared" si="2"/>
        <v>26.225999999999999</v>
      </c>
      <c r="H10" s="4" t="str">
        <f t="shared" si="3"/>
        <v>Baja</v>
      </c>
    </row>
    <row r="11" spans="1:9">
      <c r="A11" s="9">
        <v>46029</v>
      </c>
      <c r="B11" s="10" t="s">
        <v>17</v>
      </c>
      <c r="C11" s="10">
        <v>1.4</v>
      </c>
      <c r="D11" s="5">
        <v>11</v>
      </c>
      <c r="E11" s="5">
        <f t="shared" si="0"/>
        <v>15.399999999999999</v>
      </c>
      <c r="F11" s="5">
        <f t="shared" si="1"/>
        <v>1.0780000000000001</v>
      </c>
      <c r="G11" s="4">
        <f t="shared" si="2"/>
        <v>14.321999999999997</v>
      </c>
      <c r="H11" s="4" t="str">
        <f t="shared" si="3"/>
        <v>Baja</v>
      </c>
    </row>
    <row r="12" spans="1:9">
      <c r="A12" s="2" t="s">
        <v>18</v>
      </c>
      <c r="B12" s="2"/>
      <c r="C12" s="4" t="str">
        <f>INDEX(B2:B11,MATCH(MAX(D2:D11),D2:D11,0))</f>
        <v>Memoria USB 64 GB</v>
      </c>
    </row>
    <row r="13" spans="1:9">
      <c r="A13" s="2" t="s">
        <v>19</v>
      </c>
      <c r="B13" s="2"/>
      <c r="C13" s="4" cm="1">
        <f t="array" ref="C13">AVERAGE(C2:C11*D2:D11)</f>
        <v>4278.47</v>
      </c>
    </row>
    <row r="14" spans="1:9">
      <c r="A14" s="2" t="s">
        <v>20</v>
      </c>
      <c r="B14" s="2"/>
      <c r="C14" s="4" cm="1">
        <f t="array" ref="C14">SUMPRODUCT((A$2:A$11=A2)*(C$2:C$11)*(D$2:D$11)*(1-0.07))</f>
        <v>79.05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SAMPER SOL AGUSTINA</cp:lastModifiedBy>
  <cp:revision/>
  <dcterms:created xsi:type="dcterms:W3CDTF">2026-02-06T12:55:24Z</dcterms:created>
  <dcterms:modified xsi:type="dcterms:W3CDTF">2026-02-06T13:45:22Z</dcterms:modified>
  <cp:category/>
  <cp:contentStatus/>
</cp:coreProperties>
</file>