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75311AD4-5492-4C2A-80F3-B1389238AB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<sst xmlns="http://schemas.openxmlformats.org/spreadsheetml/2006/main" count="21" uniqueCount="21">
  <si>
    <t xml:space="preserve">FECHA </t>
  </si>
  <si>
    <t>PRODUCTO</t>
  </si>
  <si>
    <t>PRECIO UNITARIO</t>
  </si>
  <si>
    <t>CANTIDAD VENDIDA</t>
  </si>
  <si>
    <t xml:space="preserve">total ventas </t>
  </si>
  <si>
    <t xml:space="preserve">total descuento </t>
  </si>
  <si>
    <t xml:space="preserve">ventas netas </t>
  </si>
  <si>
    <t>estado de ventas</t>
  </si>
  <si>
    <t>Laptop HP</t>
  </si>
  <si>
    <t>Mouse inalámbrico</t>
  </si>
  <si>
    <t>Teclado mecánico</t>
  </si>
  <si>
    <t>Monitor 24"</t>
  </si>
  <si>
    <t>Memoria USB 64GB</t>
  </si>
  <si>
    <t>Audífonos Bluetooth</t>
  </si>
  <si>
    <t>Disco duro externo 1TB</t>
  </si>
  <si>
    <t>Impresora multifunción</t>
  </si>
  <si>
    <t>Tablet Samsung</t>
  </si>
  <si>
    <t>Cable HDMI</t>
  </si>
  <si>
    <t>producto mas vendido</t>
  </si>
  <si>
    <t>promedio de ventas</t>
  </si>
  <si>
    <t xml:space="preserve">ventas por fecha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</si>
</sst>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9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B15" sqref="B15"/>
    </sheetView>
  </sheetViews>
  <sheetFormatPr defaultRowHeight="15"/>
  <cols>
    <col min="1" max="1" width="20.42578125" bestFit="1" customWidth="1"/>
    <col min="2" max="2" width="36.5703125" bestFit="1" customWidth="1"/>
    <col min="3" max="3" width="16.42578125" bestFit="1" customWidth="1"/>
    <col min="4" max="4" width="18.5703125" bestFit="1" customWidth="1"/>
    <col min="5" max="5" width="14.5703125" customWidth="1"/>
    <col min="6" max="6" width="15" bestFit="1" customWidth="1"/>
    <col min="7" max="7" width="12.28515625" bestFit="1" customWidth="1"/>
    <col min="8" max="8" width="36.5703125" bestFit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3" ht="45.75">
      <c r="A2" s="1">
        <v>46027</v>
      </c>
      <c r="B2" t="s">
        <v>8</v>
      </c>
      <c r="C2" s="3">
        <v>14500</v>
      </c>
      <c r="D2">
        <v>2</v>
      </c>
      <c r="E2" s="4">
        <f>C2*D2</f>
        <v>29000</v>
      </c>
      <c r="F2" s="4">
        <f>(C2*D2)*M$9</f>
        <v>2030.0000000000002</v>
      </c>
      <c r="G2" s="4">
        <f>C2*D2*(1-7%)</f>
        <v>26970</v>
      </c>
      <c r="H2" s="6" t="str">
        <f>IF(AND(C2*D2&gt;1000,D2&gt;15),"VENTAS SUPERIORES","VENTAS NO SUPERIORES")</f>
        <v>VENTAS NO SUPERIORES</v>
      </c>
    </row>
    <row r="3" spans="1:13">
      <c r="A3" s="1">
        <v>46030</v>
      </c>
      <c r="B3" t="s">
        <v>9</v>
      </c>
      <c r="C3" s="3">
        <v>250</v>
      </c>
      <c r="D3">
        <v>8</v>
      </c>
      <c r="E3" s="4">
        <f t="shared" ref="E3:E11" si="0">C3*D3</f>
        <v>2000</v>
      </c>
      <c r="F3" s="4">
        <f t="shared" ref="F3:F11" si="1">(C3*D3)*M$9</f>
        <v>140</v>
      </c>
      <c r="G3" s="4">
        <f t="shared" ref="G3:G11" si="2">C3*D3*(1-7%)</f>
        <v>1859.9999999999998</v>
      </c>
      <c r="H3" s="6" t="str">
        <f t="shared" ref="H3:H11" si="3">IF(AND(C3*D3&gt;1000,D3&gt;15),"VENTAS SUPERIORES","VENTAS NO SUPERIORES")</f>
        <v>VENTAS NO SUPERIORES</v>
      </c>
    </row>
    <row r="4" spans="1:13">
      <c r="A4" s="1">
        <v>46034</v>
      </c>
      <c r="B4" t="s">
        <v>10</v>
      </c>
      <c r="C4" s="3">
        <v>1200</v>
      </c>
      <c r="D4">
        <v>3</v>
      </c>
      <c r="E4" s="4">
        <f t="shared" si="0"/>
        <v>3600</v>
      </c>
      <c r="F4" s="4">
        <f t="shared" si="1"/>
        <v>252.00000000000003</v>
      </c>
      <c r="G4" s="4">
        <f t="shared" si="2"/>
        <v>3348</v>
      </c>
      <c r="H4" s="6" t="str">
        <f t="shared" si="3"/>
        <v>VENTAS NO SUPERIORES</v>
      </c>
    </row>
    <row r="5" spans="1:13">
      <c r="A5" s="1">
        <v>46037</v>
      </c>
      <c r="B5" t="s">
        <v>11</v>
      </c>
      <c r="C5" s="3">
        <v>3200</v>
      </c>
      <c r="D5">
        <v>4</v>
      </c>
      <c r="E5" s="4">
        <f t="shared" si="0"/>
        <v>12800</v>
      </c>
      <c r="F5" s="4">
        <f t="shared" si="1"/>
        <v>896.00000000000011</v>
      </c>
      <c r="G5" s="4">
        <f t="shared" si="2"/>
        <v>11904</v>
      </c>
      <c r="H5" s="6" t="str">
        <f t="shared" si="3"/>
        <v>VENTAS NO SUPERIORES</v>
      </c>
    </row>
    <row r="6" spans="1:13">
      <c r="A6" s="1">
        <v>46040</v>
      </c>
      <c r="B6" t="s">
        <v>12</v>
      </c>
      <c r="C6" s="3">
        <v>180</v>
      </c>
      <c r="D6">
        <v>10</v>
      </c>
      <c r="E6" s="4">
        <f t="shared" si="0"/>
        <v>1800</v>
      </c>
      <c r="F6" s="4">
        <f t="shared" si="1"/>
        <v>126.00000000000001</v>
      </c>
      <c r="G6" s="4">
        <f t="shared" si="2"/>
        <v>1674</v>
      </c>
      <c r="H6" s="6" t="str">
        <f t="shared" si="3"/>
        <v>VENTAS NO SUPERIORES</v>
      </c>
    </row>
    <row r="7" spans="1:13">
      <c r="A7" s="1">
        <v>46043</v>
      </c>
      <c r="B7" t="s">
        <v>13</v>
      </c>
      <c r="C7" s="3">
        <v>750</v>
      </c>
      <c r="D7">
        <v>6</v>
      </c>
      <c r="E7" s="4">
        <f t="shared" si="0"/>
        <v>4500</v>
      </c>
      <c r="F7" s="4">
        <f t="shared" si="1"/>
        <v>315.00000000000006</v>
      </c>
      <c r="G7" s="4">
        <f t="shared" si="2"/>
        <v>4185</v>
      </c>
      <c r="H7" s="6" t="str">
        <f t="shared" si="3"/>
        <v>VENTAS NO SUPERIORES</v>
      </c>
    </row>
    <row r="8" spans="1:13">
      <c r="A8" s="1">
        <v>46046</v>
      </c>
      <c r="B8" t="s">
        <v>14</v>
      </c>
      <c r="C8" s="3">
        <v>1650</v>
      </c>
      <c r="D8">
        <v>5</v>
      </c>
      <c r="E8" s="4">
        <f t="shared" si="0"/>
        <v>8250</v>
      </c>
      <c r="F8" s="4">
        <f t="shared" si="1"/>
        <v>577.5</v>
      </c>
      <c r="G8" s="4">
        <f t="shared" si="2"/>
        <v>7672.4999999999991</v>
      </c>
      <c r="H8" s="6" t="str">
        <f t="shared" si="3"/>
        <v>VENTAS NO SUPERIORES</v>
      </c>
    </row>
    <row r="9" spans="1:13">
      <c r="A9" s="1">
        <v>46049</v>
      </c>
      <c r="B9" t="s">
        <v>15</v>
      </c>
      <c r="C9" s="3">
        <v>2800</v>
      </c>
      <c r="D9">
        <v>2</v>
      </c>
      <c r="E9" s="4">
        <f t="shared" si="0"/>
        <v>5600</v>
      </c>
      <c r="F9" s="4">
        <f t="shared" si="1"/>
        <v>392.00000000000006</v>
      </c>
      <c r="G9" s="4">
        <f t="shared" si="2"/>
        <v>5208</v>
      </c>
      <c r="H9" s="6" t="str">
        <f t="shared" si="3"/>
        <v>VENTAS NO SUPERIORES</v>
      </c>
      <c r="M9" s="5">
        <v>7.0000000000000007E-2</v>
      </c>
    </row>
    <row r="10" spans="1:13">
      <c r="A10" s="1">
        <v>46052</v>
      </c>
      <c r="B10" t="s">
        <v>16</v>
      </c>
      <c r="C10" s="3">
        <v>5200</v>
      </c>
      <c r="D10">
        <v>1</v>
      </c>
      <c r="E10" s="4">
        <f t="shared" si="0"/>
        <v>5200</v>
      </c>
      <c r="F10" s="4">
        <f t="shared" si="1"/>
        <v>364.00000000000006</v>
      </c>
      <c r="G10" s="4">
        <f t="shared" si="2"/>
        <v>4836</v>
      </c>
      <c r="H10" s="6" t="str">
        <f t="shared" si="3"/>
        <v>VENTAS NO SUPERIORES</v>
      </c>
    </row>
    <row r="11" spans="1:13">
      <c r="A11" s="1">
        <v>46055</v>
      </c>
      <c r="B11" t="s">
        <v>17</v>
      </c>
      <c r="C11" s="3">
        <v>95</v>
      </c>
      <c r="D11">
        <v>12</v>
      </c>
      <c r="E11" s="4">
        <f t="shared" si="0"/>
        <v>1140</v>
      </c>
      <c r="F11" s="4">
        <f t="shared" si="1"/>
        <v>79.800000000000011</v>
      </c>
      <c r="G11" s="4">
        <f t="shared" si="2"/>
        <v>1060.1999999999998</v>
      </c>
      <c r="H11" s="6" t="str">
        <f t="shared" si="3"/>
        <v>VENTAS NO SUPERIORES</v>
      </c>
    </row>
    <row r="12" spans="1:13" ht="30.75">
      <c r="A12" t="s">
        <v>18</v>
      </c>
      <c r="B12" s="7" t="str">
        <f>INDEX(B2:B11,MATCH(MAX(D2:D11),D2:D11,0))</f>
        <v>Cable HDMI</v>
      </c>
      <c r="F12" s="1"/>
    </row>
    <row r="13" spans="1:13">
      <c r="A13" t="s">
        <v>19</v>
      </c>
      <c r="B13" s="3">
        <f>AVERAGE(E2:E11)</f>
        <v>7389</v>
      </c>
      <c r="F13" s="1"/>
    </row>
    <row r="14" spans="1:13" ht="30.75">
      <c r="A14" t="s">
        <v>20</v>
      </c>
      <c r="B14" s="7">
        <f>SUMIFS(E2:E11,A2:A11,A2)</f>
        <v>29000</v>
      </c>
      <c r="F14" s="1"/>
    </row>
    <row r="15" spans="1:13">
      <c r="F15" s="1"/>
    </row>
    <row r="16" spans="1:13">
      <c r="F16" s="1"/>
    </row>
    <row r="17" spans="6:6">
      <c r="F17" s="1"/>
    </row>
    <row r="18" spans="6:6">
      <c r="F18" s="1"/>
    </row>
    <row r="19" spans="6:6">
      <c r="F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2026-02-06T19:38:32Z</dcterms:created>
  <dcterms:modified xsi:type="dcterms:W3CDTF">2026-02-07T13:57:26Z</dcterms:modified>
  <cp:category/>
  <cp:contentStatus/>
</cp:coreProperties>
</file>