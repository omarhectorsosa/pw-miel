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20A697C5-2EAC-414C-B2A6-E2D1D34CF2E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8" i="2"/>
  <c r="E9" i="2"/>
  <c r="E7" i="2"/>
  <c r="E5" i="2"/>
  <c r="E6" i="2"/>
  <c r="E11" i="2"/>
  <c r="E3" i="2"/>
  <c r="E10" i="2"/>
  <c r="A20" i="1"/>
  <c r="A19" i="1"/>
  <c r="A17" i="1"/>
  <c r="E3" i="1"/>
  <c r="E4" i="1"/>
  <c r="E5" i="1"/>
  <c r="E6" i="1"/>
  <c r="E7" i="1"/>
  <c r="E8" i="1"/>
  <c r="E9" i="1"/>
  <c r="A18" i="1" s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<sst xmlns="http://schemas.openxmlformats.org/spreadsheetml/2006/main" count="129" uniqueCount="31">
  <si>
    <t>CODIGO</t>
  </si>
  <si>
    <t>DESCRIPCION</t>
  </si>
  <si>
    <t>CANTIDAD</t>
  </si>
  <si>
    <t>PRECIO UNIT.</t>
  </si>
  <si>
    <t>TOTAL</t>
  </si>
  <si>
    <t>T</t>
  </si>
  <si>
    <t>television 32 "</t>
  </si>
  <si>
    <t xml:space="preserve">C </t>
  </si>
  <si>
    <t>Cocina 4 hornallas</t>
  </si>
  <si>
    <t>Televisor 42" Led</t>
  </si>
  <si>
    <t>H</t>
  </si>
  <si>
    <t>Heladera 12 pies con freezer</t>
  </si>
  <si>
    <t>Freezer carga superior</t>
  </si>
  <si>
    <t>R</t>
  </si>
  <si>
    <t>radi onda corta</t>
  </si>
  <si>
    <t>radio con CD y mp3</t>
  </si>
  <si>
    <t>Radio AM FM 3 bqandas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</si>
  <si>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</si>
  <si>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</si>
  <si>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</si>
  <si>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</si>
  <si>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</si>
  <si>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</si>
  <si>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12 V</t>
  </si>
  <si>
    <t>&gt;=5</t>
  </si>
  <si>
    <t>&gt;4</t>
  </si>
  <si>
    <t>&lt;9</t>
  </si>
  <si>
    <t>C</t>
  </si>
  <si>
    <t>importe total</t>
  </si>
  <si>
    <t>contar productos</t>
  </si>
  <si>
    <t xml:space="preserve">promedio de importe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</si>
</sst>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0" xfId="0" applyAlignment="1"/>
    <xf numFmtId="1" fontId="0" fillId="0" borderId="1" xfId="0" applyNumberFormat="1" applyBorder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activeCell="I8" sqref="I8"/>
    </sheetView>
  </sheetViews>
  <sheetFormatPr defaultRowHeight="15"/>
  <cols>
    <col min="2" max="2" width="25.7109375" bestFit="1" customWidth="1"/>
    <col min="3" max="3" width="10.140625" bestFit="1" customWidth="1"/>
    <col min="4" max="4" width="12.7109375" bestFit="1" customWidth="1"/>
    <col min="5" max="5" width="11.140625" bestFit="1" customWidth="1"/>
    <col min="6" max="6" width="10.140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6" spans="1:5">
      <c r="D16" s="4"/>
      <c r="E16" s="4"/>
    </row>
    <row r="17" spans="1:6">
      <c r="A17" s="7">
        <f>DMAX(A1:E15,D1,A22:E23)</f>
        <v>8500</v>
      </c>
    </row>
    <row r="18" spans="1:6">
      <c r="A18" s="7">
        <f>DSUM(A1:E15,E1,A26:E27)</f>
        <v>6000</v>
      </c>
    </row>
    <row r="19" spans="1:6">
      <c r="A19" s="7">
        <f>DGET(A1:E15,D1,A29:E30)</f>
        <v>1800</v>
      </c>
    </row>
    <row r="20" spans="1:6">
      <c r="A20" s="7">
        <f>DCOUNTA(A1:E15,C1,A32:F33)</f>
        <v>6</v>
      </c>
    </row>
    <row r="22" spans="1:6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</row>
    <row r="23" spans="1:6">
      <c r="A23" t="s">
        <v>10</v>
      </c>
    </row>
    <row r="26" spans="1:6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</row>
    <row r="27" spans="1:6">
      <c r="A27" t="s">
        <v>13</v>
      </c>
      <c r="C27" t="s">
        <v>24</v>
      </c>
    </row>
    <row r="29" spans="1:6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</row>
    <row r="30" spans="1:6">
      <c r="B30" s="1" t="s">
        <v>14</v>
      </c>
    </row>
    <row r="32" spans="1:6">
      <c r="A32" s="3" t="s">
        <v>0</v>
      </c>
      <c r="B32" s="3" t="s">
        <v>1</v>
      </c>
      <c r="C32" s="3" t="s">
        <v>2</v>
      </c>
      <c r="D32" s="3" t="s">
        <v>3</v>
      </c>
      <c r="E32" s="5" t="s">
        <v>4</v>
      </c>
      <c r="F32" s="6" t="s">
        <v>2</v>
      </c>
    </row>
    <row r="33" spans="3:6">
      <c r="C33" t="s">
        <v>25</v>
      </c>
      <c r="F3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1B7C-1751-4380-8ADF-04C6C7BB0E31}">
  <dimension ref="A1:E15"/>
  <sheetViews>
    <sheetView workbookViewId="0"/>
  </sheetViews>
  <sheetFormatPr defaultRowHeight="15"/>
  <cols>
    <col min="1" max="1" width="8.140625" bestFit="1" customWidth="1"/>
    <col min="2" max="2" width="25.7109375" style="10" bestFit="1" customWidth="1"/>
    <col min="3" max="3" width="10.28515625" bestFit="1" customWidth="1"/>
    <col min="4" max="4" width="12.85546875" bestFit="1" customWidth="1"/>
    <col min="5" max="5" width="8.42578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8" t="s">
        <v>7</v>
      </c>
      <c r="B2" s="8" t="s">
        <v>22</v>
      </c>
      <c r="C2" s="8">
        <v>2</v>
      </c>
      <c r="D2" s="9">
        <v>2400</v>
      </c>
      <c r="E2" s="9">
        <f>PRODUCT(C2,D2)</f>
        <v>4800</v>
      </c>
    </row>
    <row r="3" spans="1:5">
      <c r="A3" s="8" t="s">
        <v>7</v>
      </c>
      <c r="B3" s="8" t="s">
        <v>8</v>
      </c>
      <c r="C3" s="8">
        <v>10</v>
      </c>
      <c r="D3" s="9">
        <v>4800</v>
      </c>
      <c r="E3" s="9">
        <f>PRODUCT(C3,D3)</f>
        <v>48000</v>
      </c>
    </row>
    <row r="4" spans="1:5">
      <c r="A4" s="8" t="s">
        <v>7</v>
      </c>
      <c r="B4" s="8" t="s">
        <v>17</v>
      </c>
      <c r="C4" s="8">
        <v>2</v>
      </c>
      <c r="D4" s="9">
        <v>9400</v>
      </c>
      <c r="E4" s="9">
        <f>PRODUCT(C4,D4)</f>
        <v>18800</v>
      </c>
    </row>
    <row r="5" spans="1:5">
      <c r="A5" s="8" t="s">
        <v>10</v>
      </c>
      <c r="B5" s="8" t="s">
        <v>12</v>
      </c>
      <c r="C5" s="8">
        <v>4</v>
      </c>
      <c r="D5" s="9">
        <v>5000</v>
      </c>
      <c r="E5" s="9">
        <f>PRODUCT(C5,D5)</f>
        <v>20000</v>
      </c>
    </row>
    <row r="6" spans="1:5">
      <c r="A6" s="8" t="s">
        <v>10</v>
      </c>
      <c r="B6" s="8" t="s">
        <v>11</v>
      </c>
      <c r="C6" s="8">
        <v>7</v>
      </c>
      <c r="D6" s="9">
        <v>8500</v>
      </c>
      <c r="E6" s="9">
        <f>PRODUCT(C6,D6)</f>
        <v>59500</v>
      </c>
    </row>
    <row r="7" spans="1:5">
      <c r="A7" s="8" t="s">
        <v>13</v>
      </c>
      <c r="B7" s="8" t="s">
        <v>14</v>
      </c>
      <c r="C7" s="8">
        <v>4</v>
      </c>
      <c r="D7" s="9">
        <v>1800</v>
      </c>
      <c r="E7" s="9">
        <f>PRODUCT(C7,D7)</f>
        <v>7200</v>
      </c>
    </row>
    <row r="8" spans="1:5">
      <c r="A8" s="8" t="s">
        <v>13</v>
      </c>
      <c r="B8" s="8" t="s">
        <v>16</v>
      </c>
      <c r="C8" s="8">
        <v>5</v>
      </c>
      <c r="D8" s="9">
        <v>1200</v>
      </c>
      <c r="E8" s="9">
        <f>PRODUCT(C8,D8)</f>
        <v>6000</v>
      </c>
    </row>
    <row r="9" spans="1:5">
      <c r="A9" s="8" t="s">
        <v>13</v>
      </c>
      <c r="B9" s="8" t="s">
        <v>15</v>
      </c>
      <c r="C9" s="8">
        <v>3</v>
      </c>
      <c r="D9" s="9">
        <v>2600</v>
      </c>
      <c r="E9" s="9">
        <f>PRODUCT(C9,D9)</f>
        <v>7800</v>
      </c>
    </row>
    <row r="10" spans="1:5">
      <c r="A10" s="8" t="s">
        <v>5</v>
      </c>
      <c r="B10" s="8" t="s">
        <v>6</v>
      </c>
      <c r="C10" s="8">
        <v>12</v>
      </c>
      <c r="D10" s="9">
        <v>6500</v>
      </c>
      <c r="E10" s="9">
        <f>PRODUCT(C10,D10)</f>
        <v>78000</v>
      </c>
    </row>
    <row r="11" spans="1:5">
      <c r="A11" s="8" t="s">
        <v>5</v>
      </c>
      <c r="B11" s="8" t="s">
        <v>9</v>
      </c>
      <c r="C11" s="8">
        <v>8</v>
      </c>
      <c r="D11" s="9">
        <v>7800</v>
      </c>
      <c r="E11" s="9">
        <f>PRODUCT(C11,D11)</f>
        <v>62400</v>
      </c>
    </row>
    <row r="12" spans="1:5">
      <c r="A12" s="8" t="s">
        <v>5</v>
      </c>
      <c r="B12" s="8" t="s">
        <v>18</v>
      </c>
      <c r="C12" s="8">
        <v>8</v>
      </c>
      <c r="D12" s="9">
        <v>12000</v>
      </c>
      <c r="E12" s="9">
        <f>PRODUCT(C12,D12)</f>
        <v>96000</v>
      </c>
    </row>
    <row r="13" spans="1:5">
      <c r="A13" s="8" t="s">
        <v>5</v>
      </c>
      <c r="B13" s="8" t="s">
        <v>23</v>
      </c>
      <c r="C13" s="8">
        <v>1</v>
      </c>
      <c r="D13" s="9">
        <v>1800</v>
      </c>
      <c r="E13" s="9">
        <f>PRODUCT(C13,D13)</f>
        <v>1800</v>
      </c>
    </row>
    <row r="14" spans="1:5">
      <c r="A14" s="8" t="s">
        <v>19</v>
      </c>
      <c r="B14" s="8" t="s">
        <v>21</v>
      </c>
      <c r="C14" s="8">
        <v>6</v>
      </c>
      <c r="D14" s="9">
        <v>6500</v>
      </c>
      <c r="E14" s="9">
        <f>PRODUCT(C14,D14)</f>
        <v>39000</v>
      </c>
    </row>
    <row r="15" spans="1:5">
      <c r="A15" s="8" t="s">
        <v>19</v>
      </c>
      <c r="B15" s="8" t="s">
        <v>20</v>
      </c>
      <c r="C15" s="8">
        <v>6</v>
      </c>
      <c r="D15" s="9">
        <v>2500</v>
      </c>
      <c r="E15" s="9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E9B4-5FC0-4BEA-9131-0F1E15DC57C0}">
  <dimension ref="A1:E20"/>
  <sheetViews>
    <sheetView workbookViewId="0">
      <selection activeCell="E20" sqref="E20"/>
    </sheetView>
  </sheetViews>
  <sheetFormatPr defaultRowHeight="15"/>
  <cols>
    <col min="1" max="1" width="20" bestFit="1" customWidth="1"/>
    <col min="2" max="2" width="36.5703125" bestFit="1" customWidth="1"/>
    <col min="3" max="3" width="10.28515625" bestFit="1" customWidth="1"/>
    <col min="4" max="4" width="12.85546875" bestFit="1" customWidth="1"/>
    <col min="5" max="5" width="8.42578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1">
        <v>12</v>
      </c>
      <c r="D2" s="2">
        <v>6500</v>
      </c>
      <c r="E2" s="2">
        <f>PRODUCT(C2,D2)</f>
        <v>78000</v>
      </c>
    </row>
    <row r="3" spans="1:5">
      <c r="A3" s="1" t="s">
        <v>27</v>
      </c>
      <c r="B3" s="1" t="s">
        <v>8</v>
      </c>
      <c r="C3" s="1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1">
        <v>5</v>
      </c>
      <c r="D9" s="2">
        <v>1200</v>
      </c>
      <c r="E9" s="2">
        <f t="shared" si="0"/>
        <v>6000</v>
      </c>
    </row>
    <row r="10" spans="1:5">
      <c r="A10" s="1" t="s">
        <v>27</v>
      </c>
      <c r="B10" s="1" t="s">
        <v>17</v>
      </c>
      <c r="C10" s="1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1">
        <v>6</v>
      </c>
      <c r="D13" s="2">
        <v>6500</v>
      </c>
      <c r="E13" s="2">
        <f t="shared" si="0"/>
        <v>39000</v>
      </c>
    </row>
    <row r="14" spans="1:5">
      <c r="A14" s="1" t="s">
        <v>27</v>
      </c>
      <c r="B14" s="1" t="s">
        <v>22</v>
      </c>
      <c r="C14" s="1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1">
        <v>1</v>
      </c>
      <c r="D15" s="2">
        <v>1800</v>
      </c>
      <c r="E15" s="2">
        <f t="shared" si="0"/>
        <v>1800</v>
      </c>
    </row>
    <row r="18" spans="1:2">
      <c r="A18" s="12" t="s">
        <v>28</v>
      </c>
      <c r="B18" s="13">
        <f>SUMIFS(E2:E15,A2:A15,"C",C2:C15,"&lt;10")</f>
        <v>23600</v>
      </c>
    </row>
    <row r="19" spans="1:2">
      <c r="A19" s="12" t="s">
        <v>29</v>
      </c>
      <c r="B19" s="12">
        <f>COUNTIFS(A2:A15,"R",D2:D15,"&gt;2000",C2:C15,"&lt;4")</f>
        <v>1</v>
      </c>
    </row>
    <row r="20" spans="1:2">
      <c r="A20" s="12" t="s">
        <v>30</v>
      </c>
      <c r="B20" s="12">
        <f>AVERAGEIFS(E2:E15,A2:A15,"T",D2:D15,"&lt;12000")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2026-02-10T15:34:01Z</dcterms:created>
  <dcterms:modified xsi:type="dcterms:W3CDTF">2026-02-10T19:54:50Z</dcterms:modified>
  <cp:category/>
  <cp:contentStatus/>
</cp:coreProperties>
</file>