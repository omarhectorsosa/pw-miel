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3F8B67BE-EAD9-49BC-941C-AE1C8139BF05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Inscripciones" sheetId="1" r:id="rId1"/>
    <sheet name="Materias" sheetId="2" r:id="rId2"/>
    <sheet name="Departament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5" i="1"/>
  <c r="H13" i="1"/>
  <c r="H8" i="1"/>
  <c r="H7" i="1"/>
  <c r="H6" i="1"/>
  <c r="H16" i="1"/>
  <c r="H15" i="1"/>
  <c r="H14" i="1"/>
  <c r="H12" i="1"/>
  <c r="G12" i="1"/>
  <c r="G11" i="1"/>
  <c r="G10" i="1"/>
  <c r="G9" i="1"/>
  <c r="G5" i="1"/>
  <c r="G13" i="1"/>
  <c r="G8" i="1"/>
  <c r="G7" i="1"/>
  <c r="G6" i="1"/>
  <c r="G16" i="1"/>
  <c r="G15" i="1"/>
  <c r="G14" i="1"/>
  <c r="F11" i="1"/>
  <c r="F10" i="1"/>
  <c r="F9" i="1"/>
  <c r="F5" i="1"/>
  <c r="F13" i="1"/>
  <c r="F8" i="1"/>
  <c r="F7" i="1"/>
  <c r="F6" i="1"/>
  <c r="F16" i="1"/>
  <c r="F15" i="1"/>
  <c r="F14" i="1"/>
  <c r="F12" i="1"/>
  <c r="C11" i="1"/>
  <c r="I11" i="1" s="1"/>
  <c r="C10" i="1"/>
  <c r="I10" i="1" s="1"/>
  <c r="C9" i="1"/>
  <c r="I9" i="1" s="1"/>
  <c r="C5" i="1"/>
  <c r="I5" i="1" s="1"/>
  <c r="C13" i="1"/>
  <c r="I13" i="1" s="1"/>
  <c r="C8" i="1"/>
  <c r="I8" i="1" s="1"/>
  <c r="C7" i="1"/>
  <c r="I7" i="1" s="1"/>
  <c r="C6" i="1"/>
  <c r="I6" i="1" s="1"/>
  <c r="C16" i="1"/>
  <c r="I16" i="1" s="1"/>
  <c r="C15" i="1"/>
  <c r="I15" i="1" s="1"/>
  <c r="C14" i="1"/>
  <c r="I14" i="1" s="1"/>
  <c r="C12" i="1"/>
  <c r="I12" i="1" s="1"/>
  <c r="B11" i="1"/>
  <c r="B10" i="1"/>
  <c r="B9" i="1"/>
  <c r="B5" i="1"/>
  <c r="B13" i="1"/>
  <c r="B8" i="1"/>
  <c r="B7" i="1"/>
  <c r="B6" i="1"/>
  <c r="B16" i="1"/>
  <c r="B15" i="1"/>
  <c r="B14" i="1"/>
  <c r="B12" i="1"/>
</calcChain>
</file>

<file path=xl/sharedStrings.xml><?xml version="1.0" encoding="utf-8"?>
<sst xmlns="http://schemas.openxmlformats.org/spreadsheetml/2006/main" count="48" uniqueCount="33">
  <si>
    <t>EXAMENES FINALES</t>
  </si>
  <si>
    <t>Código de Materia</t>
  </si>
  <si>
    <t>Materia</t>
  </si>
  <si>
    <t>Departamento</t>
  </si>
  <si>
    <t>Fecha de examen</t>
  </si>
  <si>
    <t>Cantidad de inscriptos</t>
  </si>
  <si>
    <t>Condición</t>
  </si>
  <si>
    <t>Aula designada</t>
  </si>
  <si>
    <t>Publicación de notas</t>
  </si>
  <si>
    <t>Importe de inscripciones</t>
  </si>
  <si>
    <t>Código de materia</t>
  </si>
  <si>
    <t>Código de Departamento</t>
  </si>
  <si>
    <t>Derecho Público</t>
  </si>
  <si>
    <t>A</t>
  </si>
  <si>
    <t>Derecho Penal</t>
  </si>
  <si>
    <t>Derecho Civil</t>
  </si>
  <si>
    <t>Sistemas Operativos I</t>
  </si>
  <si>
    <t>B</t>
  </si>
  <si>
    <t>Análisis Matemático</t>
  </si>
  <si>
    <t>Computación I</t>
  </si>
  <si>
    <t>C</t>
  </si>
  <si>
    <t>Estadística</t>
  </si>
  <si>
    <t>Computación II</t>
  </si>
  <si>
    <t>Inglés I</t>
  </si>
  <si>
    <t>Anatomia I</t>
  </si>
  <si>
    <t>D</t>
  </si>
  <si>
    <t>Biología I</t>
  </si>
  <si>
    <t>Enfermería</t>
  </si>
  <si>
    <t>Arancel</t>
  </si>
  <si>
    <t>Derecho</t>
  </si>
  <si>
    <t>Ingeniería</t>
  </si>
  <si>
    <t>Económicas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</si>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</sst>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1" fillId="2" borderId="0" xfId="0" applyFont="1" applyFill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14" fontId="0" fillId="3" borderId="1" xfId="0" applyNumberFormat="1" applyFill="1" applyBorder="1"/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J16"/>
  <sheetViews>
    <sheetView tabSelected="1" workbookViewId="0">
      <selection activeCell="A4" sqref="A4:I4"/>
    </sheetView>
  </sheetViews>
  <sheetFormatPr defaultRowHeight="15"/>
  <cols>
    <col min="1" max="1" width="8.85546875" customWidth="1"/>
    <col min="2" max="2" width="19" customWidth="1"/>
    <col min="3" max="3" width="22.5703125" customWidth="1"/>
    <col min="4" max="4" width="15.140625" customWidth="1"/>
    <col min="5" max="5" width="16.5703125" customWidth="1"/>
    <col min="6" max="6" width="16.28515625" customWidth="1"/>
    <col min="7" max="7" width="13.28515625" customWidth="1"/>
    <col min="8" max="8" width="21.28515625" customWidth="1"/>
    <col min="9" max="9" width="17.28515625" customWidth="1"/>
  </cols>
  <sheetData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</row>
    <row r="4" spans="1:10" ht="45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 t="s">
        <v>9</v>
      </c>
      <c r="J4" s="2"/>
    </row>
    <row r="5" spans="1:10">
      <c r="A5" s="4">
        <v>1010</v>
      </c>
      <c r="B5" s="5" t="str">
        <f>VLOOKUP(A5,Materias!$B$3:$D$15,2,0)</f>
        <v>Derecho Público</v>
      </c>
      <c r="C5" s="5" t="str">
        <f>VLOOKUP(VLOOKUP(A5,Materias!$B$3:$D$15,3,0),Departamentos!$B$3:$D$7,2,0)</f>
        <v>Derecho</v>
      </c>
      <c r="D5" s="6">
        <v>42569</v>
      </c>
      <c r="E5" s="4">
        <v>202</v>
      </c>
      <c r="F5" s="5" t="str">
        <f>IF(E5&lt;150,"BAJA",IF(E5&lt;200,"NORMAL","ALTA"))</f>
        <v>ALTA</v>
      </c>
      <c r="G5" s="5">
        <f>IF(AND(E5&lt;180,D5&gt;DATE(2016,7,15)),805,812)</f>
        <v>812</v>
      </c>
      <c r="H5" s="6">
        <f>D5+ROUNDUP(E5/10,0)</f>
        <v>42590</v>
      </c>
      <c r="I5" s="5">
        <f>VLOOKUP(C5,Departamentos!$C$3:$D$7,2,0)*E5</f>
        <v>44440</v>
      </c>
      <c r="J5" s="2"/>
    </row>
    <row r="6" spans="1:10">
      <c r="A6" s="4">
        <v>1280</v>
      </c>
      <c r="B6" s="5" t="str">
        <f>VLOOKUP(A6,Materias!$B$3:$D$15,2,0)</f>
        <v>Derecho Penal</v>
      </c>
      <c r="C6" s="5" t="str">
        <f>VLOOKUP(VLOOKUP(A6,Materias!$B$3:$D$15,3,0),Departamentos!$B$3:$D$7,2,0)</f>
        <v>Derecho</v>
      </c>
      <c r="D6" s="6">
        <v>42572</v>
      </c>
      <c r="E6" s="4">
        <v>168</v>
      </c>
      <c r="F6" s="5" t="str">
        <f>IF(E6&lt;150,"BAJA",IF(E6&lt;200,"NORMAL","ALTA"))</f>
        <v>NORMAL</v>
      </c>
      <c r="G6" s="5">
        <f>IF(AND(E6&lt;180,D6&gt;DATE(2016,7,15)),805,812)</f>
        <v>805</v>
      </c>
      <c r="H6" s="6">
        <f>D6+ROUNDUP(E6/10,0)</f>
        <v>42589</v>
      </c>
      <c r="I6" s="5">
        <f>VLOOKUP(C6,Departamentos!$C$3:$D$7,2,0)*E6</f>
        <v>36960</v>
      </c>
      <c r="J6" s="2"/>
    </row>
    <row r="7" spans="1:10">
      <c r="A7" s="4">
        <v>1420</v>
      </c>
      <c r="B7" s="5" t="str">
        <f>VLOOKUP(A7,Materias!$B$3:$D$15,2,0)</f>
        <v>Derecho Civil</v>
      </c>
      <c r="C7" s="5" t="str">
        <f>VLOOKUP(VLOOKUP(A7,Materias!$B$3:$D$15,3,0),Departamentos!$B$3:$D$7,2,0)</f>
        <v>Derecho</v>
      </c>
      <c r="D7" s="6">
        <v>42564</v>
      </c>
      <c r="E7" s="4">
        <v>136</v>
      </c>
      <c r="F7" s="5" t="str">
        <f>IF(E7&lt;150,"BAJA",IF(E7&lt;200,"NORMAL","ALTA"))</f>
        <v>BAJA</v>
      </c>
      <c r="G7" s="5">
        <f>IF(AND(E7&lt;180,D7&gt;DATE(2016,7,15)),805,812)</f>
        <v>812</v>
      </c>
      <c r="H7" s="6">
        <f>D7+ROUNDUP(E7/10,0)</f>
        <v>42578</v>
      </c>
      <c r="I7" s="5">
        <f>VLOOKUP(C7,Departamentos!$C$3:$D$7,2,0)*E7</f>
        <v>29920</v>
      </c>
      <c r="J7" s="2"/>
    </row>
    <row r="8" spans="1:10">
      <c r="A8" s="4">
        <v>1300</v>
      </c>
      <c r="B8" s="5" t="str">
        <f>VLOOKUP(A8,Materias!$B$3:$D$15,2,0)</f>
        <v>Inglés I</v>
      </c>
      <c r="C8" s="5" t="str">
        <f>VLOOKUP(VLOOKUP(A8,Materias!$B$3:$D$15,3,0),Departamentos!$B$3:$D$7,2,0)</f>
        <v>Económicas</v>
      </c>
      <c r="D8" s="6">
        <v>42578</v>
      </c>
      <c r="E8" s="4">
        <v>215</v>
      </c>
      <c r="F8" s="5" t="str">
        <f>IF(E8&lt;150,"BAJA",IF(E8&lt;200,"NORMAL","ALTA"))</f>
        <v>ALTA</v>
      </c>
      <c r="G8" s="5">
        <f>IF(AND(E8&lt;180,D8&gt;DATE(2016,7,15)),805,812)</f>
        <v>812</v>
      </c>
      <c r="H8" s="6">
        <f>D8+ROUNDUP(E8/10,0)</f>
        <v>42600</v>
      </c>
      <c r="I8" s="5">
        <f>VLOOKUP(C8,Departamentos!$C$3:$D$7,2,0)*E8</f>
        <v>53750</v>
      </c>
      <c r="J8" s="2"/>
    </row>
    <row r="9" spans="1:10">
      <c r="A9" s="4">
        <v>1250</v>
      </c>
      <c r="B9" s="5" t="str">
        <f>VLOOKUP(A9,Materias!$B$3:$D$15,2,0)</f>
        <v>Computación II</v>
      </c>
      <c r="C9" s="5" t="str">
        <f>VLOOKUP(VLOOKUP(A9,Materias!$B$3:$D$15,3,0),Departamentos!$B$3:$D$7,2,0)</f>
        <v>Económicas</v>
      </c>
      <c r="D9" s="6">
        <v>42558</v>
      </c>
      <c r="E9" s="4">
        <v>196</v>
      </c>
      <c r="F9" s="5" t="str">
        <f>IF(E9&lt;150,"BAJA",IF(E9&lt;200,"NORMAL","ALTA"))</f>
        <v>NORMAL</v>
      </c>
      <c r="G9" s="5">
        <f>IF(AND(E9&lt;180,D9&gt;DATE(2016,7,15)),805,812)</f>
        <v>812</v>
      </c>
      <c r="H9" s="6">
        <f>D9+ROUNDUP(E9/10,0)</f>
        <v>42578</v>
      </c>
      <c r="I9" s="5">
        <f>VLOOKUP(C9,Departamentos!$C$3:$D$7,2,0)*E9</f>
        <v>49000</v>
      </c>
      <c r="J9" s="2"/>
    </row>
    <row r="10" spans="1:10">
      <c r="A10" s="4">
        <v>1150</v>
      </c>
      <c r="B10" s="5" t="str">
        <f>VLOOKUP(A10,Materias!$B$3:$D$15,2,0)</f>
        <v>Computación I</v>
      </c>
      <c r="C10" s="5" t="str">
        <f>VLOOKUP(VLOOKUP(A10,Materias!$B$3:$D$15,3,0),Departamentos!$B$3:$D$7,2,0)</f>
        <v>Económicas</v>
      </c>
      <c r="D10" s="6">
        <v>42562</v>
      </c>
      <c r="E10" s="4">
        <v>175</v>
      </c>
      <c r="F10" s="5" t="str">
        <f>IF(E10&lt;150,"BAJA",IF(E10&lt;200,"NORMAL","ALTA"))</f>
        <v>NORMAL</v>
      </c>
      <c r="G10" s="5">
        <f>IF(AND(E10&lt;180,D10&gt;DATE(2016,7,15)),805,812)</f>
        <v>812</v>
      </c>
      <c r="H10" s="6">
        <f>D10+ROUNDUP(E10/10,0)</f>
        <v>42580</v>
      </c>
      <c r="I10" s="5">
        <f>VLOOKUP(C10,Departamentos!$C$3:$D$7,2,0)*E10</f>
        <v>43750</v>
      </c>
      <c r="J10" s="2"/>
    </row>
    <row r="11" spans="1:10">
      <c r="A11" s="4">
        <v>1200</v>
      </c>
      <c r="B11" s="5" t="str">
        <f>VLOOKUP(A11,Materias!$B$3:$D$15,2,0)</f>
        <v>Estadística</v>
      </c>
      <c r="C11" s="5" t="str">
        <f>VLOOKUP(VLOOKUP(A11,Materias!$B$3:$D$15,3,0),Departamentos!$B$3:$D$7,2,0)</f>
        <v>Económicas</v>
      </c>
      <c r="D11" s="6">
        <v>42571</v>
      </c>
      <c r="E11" s="4">
        <v>158</v>
      </c>
      <c r="F11" s="5" t="str">
        <f>IF(E11&lt;150,"BAJA",IF(E11&lt;200,"NORMAL","ALTA"))</f>
        <v>NORMAL</v>
      </c>
      <c r="G11" s="5">
        <f>IF(AND(E11&lt;180,D11&gt;DATE(2016,7,15)),805,812)</f>
        <v>805</v>
      </c>
      <c r="H11" s="6">
        <f>D11+ROUNDUP(E11/10,0)</f>
        <v>42587</v>
      </c>
      <c r="I11" s="5">
        <f>VLOOKUP(C11,Departamentos!$C$3:$D$7,2,0)*E11</f>
        <v>39500</v>
      </c>
      <c r="J11" s="2"/>
    </row>
    <row r="12" spans="1:10">
      <c r="A12" s="4">
        <v>1120</v>
      </c>
      <c r="B12" s="5" t="str">
        <f>VLOOKUP(A12,Materias!$B$3:$D$15,2,0)</f>
        <v>Análisis Matemático</v>
      </c>
      <c r="C12" s="5" t="str">
        <f>VLOOKUP(VLOOKUP(A12,Materias!$B$3:$D$15,3,0),Departamentos!$B$3:$D$7,2,0)</f>
        <v>Ingeniería</v>
      </c>
      <c r="D12" s="6">
        <v>42566</v>
      </c>
      <c r="E12" s="4">
        <v>232</v>
      </c>
      <c r="F12" s="5" t="str">
        <f>IF(E12&lt;150,"BAJA",IF(E12&lt;200,"NORMAL","ALTA"))</f>
        <v>ALTA</v>
      </c>
      <c r="G12" s="5">
        <f>IF(AND(E12&lt;180,D12&gt;DATE(2016,7,15)),805,812)</f>
        <v>812</v>
      </c>
      <c r="H12" s="6">
        <f>D12+ROUNDUP(E12/10,0)</f>
        <v>42590</v>
      </c>
      <c r="I12" s="5">
        <f>VLOOKUP(C12,Departamentos!$C$3:$D$7,2,0)*E12</f>
        <v>41760</v>
      </c>
      <c r="J12" s="2"/>
    </row>
    <row r="13" spans="1:10">
      <c r="A13" s="4">
        <v>1080</v>
      </c>
      <c r="B13" s="5" t="str">
        <f>VLOOKUP(A13,Materias!$B$3:$D$15,2,0)</f>
        <v>Sistemas Operativos I</v>
      </c>
      <c r="C13" s="5" t="str">
        <f>VLOOKUP(VLOOKUP(A13,Materias!$B$3:$D$15,3,0),Departamentos!$B$3:$D$7,2,0)</f>
        <v>Ingeniería</v>
      </c>
      <c r="D13" s="6">
        <v>42574</v>
      </c>
      <c r="E13" s="4">
        <v>141</v>
      </c>
      <c r="F13" s="5" t="str">
        <f>IF(E13&lt;150,"BAJA",IF(E13&lt;200,"NORMAL","ALTA"))</f>
        <v>BAJA</v>
      </c>
      <c r="G13" s="5">
        <f>IF(AND(E13&lt;180,D13&gt;DATE(2016,7,15)),805,812)</f>
        <v>805</v>
      </c>
      <c r="H13" s="6">
        <f>D13+ROUNDUP(E13/10,0)</f>
        <v>42589</v>
      </c>
      <c r="I13" s="5">
        <f>VLOOKUP(C13,Departamentos!$C$3:$D$7,2,0)*E13</f>
        <v>25380</v>
      </c>
      <c r="J13" s="2"/>
    </row>
    <row r="14" spans="1:10">
      <c r="A14" s="4">
        <v>1860</v>
      </c>
      <c r="B14" s="5" t="str">
        <f>VLOOKUP(A14,Materias!$B$3:$D$15,2,0)</f>
        <v>Enfermería</v>
      </c>
      <c r="C14" s="5" t="str">
        <f>VLOOKUP(VLOOKUP(A14,Materias!$B$3:$D$15,3,0),Departamentos!$B$3:$D$7,2,0)</f>
        <v>Medicina</v>
      </c>
      <c r="D14" s="6">
        <v>42575</v>
      </c>
      <c r="E14" s="4">
        <v>171</v>
      </c>
      <c r="F14" s="5" t="str">
        <f>IF(E14&lt;150,"BAJA",IF(E14&lt;200,"NORMAL","ALTA"))</f>
        <v>NORMAL</v>
      </c>
      <c r="G14" s="5">
        <f>IF(AND(E14&lt;180,D14&gt;DATE(2016,7,15)),805,812)</f>
        <v>805</v>
      </c>
      <c r="H14" s="6">
        <f>D14+ROUNDUP(E14/10,0)</f>
        <v>42593</v>
      </c>
      <c r="I14" s="5">
        <f>VLOOKUP(C14,Departamentos!$C$3:$D$7,2,0)*E14</f>
        <v>51300</v>
      </c>
      <c r="J14" s="2"/>
    </row>
    <row r="15" spans="1:10">
      <c r="A15" s="4">
        <v>1850</v>
      </c>
      <c r="B15" s="5" t="str">
        <f>VLOOKUP(A15,Materias!$B$3:$D$15,2,0)</f>
        <v>Biología I</v>
      </c>
      <c r="C15" s="5" t="str">
        <f>VLOOKUP(VLOOKUP(A15,Materias!$B$3:$D$15,3,0),Departamentos!$B$3:$D$7,2,0)</f>
        <v>Medicina</v>
      </c>
      <c r="D15" s="6">
        <v>42574</v>
      </c>
      <c r="E15" s="4">
        <v>170</v>
      </c>
      <c r="F15" s="5" t="str">
        <f>IF(E15&lt;150,"BAJA",IF(E15&lt;200,"NORMAL","ALTA"))</f>
        <v>NORMAL</v>
      </c>
      <c r="G15" s="5">
        <f>IF(AND(E15&lt;180,D15&gt;DATE(2016,7,15)),805,812)</f>
        <v>805</v>
      </c>
      <c r="H15" s="6">
        <f>D15+ROUNDUP(E15/10,0)</f>
        <v>42591</v>
      </c>
      <c r="I15" s="5">
        <f>VLOOKUP(C15,Departamentos!$C$3:$D$7,2,0)*E15</f>
        <v>51000</v>
      </c>
      <c r="J15" s="2"/>
    </row>
    <row r="16" spans="1:10">
      <c r="A16" s="4">
        <v>1825</v>
      </c>
      <c r="B16" s="5" t="str">
        <f>VLOOKUP(A16,Materias!$B$3:$D$15,2,0)</f>
        <v>Anatomia I</v>
      </c>
      <c r="C16" s="5" t="str">
        <f>VLOOKUP(VLOOKUP(A16,Materias!$B$3:$D$15,3,0),Departamentos!$B$3:$D$7,2,0)</f>
        <v>Medicina</v>
      </c>
      <c r="D16" s="6">
        <v>42573</v>
      </c>
      <c r="E16" s="4">
        <v>169</v>
      </c>
      <c r="F16" s="5" t="str">
        <f>IF(E16&lt;150,"BAJA",IF(E16&lt;200,"NORMAL","ALTA"))</f>
        <v>NORMAL</v>
      </c>
      <c r="G16" s="5">
        <f>IF(AND(E16&lt;180,D16&gt;DATE(2016,7,15)),805,812)</f>
        <v>805</v>
      </c>
      <c r="H16" s="6">
        <f>D16+ROUNDUP(E16/10,0)</f>
        <v>42590</v>
      </c>
      <c r="I16" s="5">
        <f>VLOOKUP(C16,Departamentos!$C$3:$D$7,2,0)*E16</f>
        <v>50700</v>
      </c>
      <c r="J16" s="2"/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129B1-7B4F-49DF-8184-F03AC89D9F57}">
  <sheetPr>
    <tabColor rgb="FFFFFF00"/>
  </sheetPr>
  <dimension ref="B3:E15"/>
  <sheetViews>
    <sheetView workbookViewId="0">
      <selection activeCell="D15" sqref="D15"/>
    </sheetView>
  </sheetViews>
  <sheetFormatPr defaultRowHeight="15"/>
  <cols>
    <col min="1" max="1" width="16.85546875" bestFit="1" customWidth="1"/>
    <col min="2" max="2" width="19.5703125" bestFit="1" customWidth="1"/>
    <col min="3" max="3" width="36.5703125" bestFit="1" customWidth="1"/>
    <col min="4" max="4" width="19.28515625" customWidth="1"/>
  </cols>
  <sheetData>
    <row r="3" spans="2:5" ht="72.75" customHeight="1">
      <c r="B3" s="1" t="s">
        <v>10</v>
      </c>
      <c r="C3" s="1" t="s">
        <v>2</v>
      </c>
      <c r="D3" s="1" t="s">
        <v>11</v>
      </c>
      <c r="E3" s="1"/>
    </row>
    <row r="4" spans="2:5">
      <c r="B4">
        <v>1010</v>
      </c>
      <c r="C4" t="s">
        <v>12</v>
      </c>
      <c r="D4" t="s">
        <v>13</v>
      </c>
    </row>
    <row r="5" spans="2:5">
      <c r="B5">
        <v>1280</v>
      </c>
      <c r="C5" s="1" t="s">
        <v>14</v>
      </c>
      <c r="D5" t="s">
        <v>13</v>
      </c>
    </row>
    <row r="6" spans="2:5">
      <c r="B6">
        <v>1420</v>
      </c>
      <c r="C6" t="s">
        <v>15</v>
      </c>
      <c r="D6" t="s">
        <v>13</v>
      </c>
    </row>
    <row r="7" spans="2:5">
      <c r="B7">
        <v>1080</v>
      </c>
      <c r="C7" t="s">
        <v>16</v>
      </c>
      <c r="D7" t="s">
        <v>17</v>
      </c>
    </row>
    <row r="8" spans="2:5">
      <c r="B8">
        <v>1120</v>
      </c>
      <c r="C8" t="s">
        <v>18</v>
      </c>
      <c r="D8" t="s">
        <v>17</v>
      </c>
    </row>
    <row r="9" spans="2:5">
      <c r="B9">
        <v>1150</v>
      </c>
      <c r="C9" t="s">
        <v>19</v>
      </c>
      <c r="D9" t="s">
        <v>20</v>
      </c>
    </row>
    <row r="10" spans="2:5">
      <c r="B10">
        <v>1200</v>
      </c>
      <c r="C10" t="s">
        <v>21</v>
      </c>
      <c r="D10" s="1" t="s">
        <v>20</v>
      </c>
    </row>
    <row r="11" spans="2:5">
      <c r="B11">
        <v>1250</v>
      </c>
      <c r="C11" t="s">
        <v>22</v>
      </c>
      <c r="D11" t="s">
        <v>20</v>
      </c>
    </row>
    <row r="12" spans="2:5">
      <c r="B12">
        <v>1300</v>
      </c>
      <c r="C12" t="s">
        <v>23</v>
      </c>
      <c r="D12" t="s">
        <v>20</v>
      </c>
    </row>
    <row r="13" spans="2:5">
      <c r="B13">
        <v>1825</v>
      </c>
      <c r="C13" t="s">
        <v>24</v>
      </c>
      <c r="D13" t="s">
        <v>25</v>
      </c>
    </row>
    <row r="14" spans="2:5">
      <c r="B14">
        <v>1850</v>
      </c>
      <c r="C14" t="s">
        <v>26</v>
      </c>
      <c r="D14" t="s">
        <v>25</v>
      </c>
    </row>
    <row r="15" spans="2:5">
      <c r="B15">
        <v>1860</v>
      </c>
      <c r="C15" t="s">
        <v>27</v>
      </c>
      <c r="D1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B0DC-5E7B-4788-84DD-A7F8A2D55460}">
  <sheetPr>
    <tabColor rgb="FF00B050"/>
  </sheetPr>
  <dimension ref="B1:D7"/>
  <sheetViews>
    <sheetView workbookViewId="0">
      <selection activeCell="B7" sqref="B7"/>
    </sheetView>
  </sheetViews>
  <sheetFormatPr defaultRowHeight="15"/>
  <cols>
    <col min="1" max="1" width="22.7109375" bestFit="1" customWidth="1"/>
    <col min="2" max="2" width="17.28515625" customWidth="1"/>
    <col min="3" max="3" width="15.28515625" customWidth="1"/>
  </cols>
  <sheetData>
    <row r="1" spans="2:4" ht="31.5" customHeight="1"/>
    <row r="2" spans="2:4" ht="21" customHeight="1"/>
    <row r="3" spans="2:4" ht="56.25" customHeight="1">
      <c r="B3" s="1" t="s">
        <v>11</v>
      </c>
      <c r="C3" s="1" t="s">
        <v>3</v>
      </c>
      <c r="D3" s="1" t="s">
        <v>28</v>
      </c>
    </row>
    <row r="4" spans="2:4">
      <c r="B4" t="s">
        <v>13</v>
      </c>
      <c r="C4" t="s">
        <v>29</v>
      </c>
      <c r="D4">
        <v>220</v>
      </c>
    </row>
    <row r="5" spans="2:4">
      <c r="B5" t="s">
        <v>17</v>
      </c>
      <c r="C5" t="s">
        <v>30</v>
      </c>
      <c r="D5">
        <v>180</v>
      </c>
    </row>
    <row r="6" spans="2:4">
      <c r="B6" s="1" t="s">
        <v>20</v>
      </c>
      <c r="C6" t="s">
        <v>31</v>
      </c>
      <c r="D6">
        <v>250</v>
      </c>
    </row>
    <row r="7" spans="2:4">
      <c r="B7" t="s">
        <v>25</v>
      </c>
      <c r="C7" t="s">
        <v>32</v>
      </c>
      <c r="D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2026-02-11T22:32:53Z</dcterms:created>
  <dcterms:modified xsi:type="dcterms:W3CDTF">2026-02-12T00:57:40Z</dcterms:modified>
  <cp:category/>
  <cp:contentStatus/>
</cp:coreProperties>
</file>