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defaultThemeVersion="166925"/>
  <xr:revisionPtr revIDLastSave="0" documentId="8_{5F059D94-3A71-437D-A4F2-81EEC689A608}" xr6:coauthVersionLast="47" xr6:coauthVersionMax="47" xr10:uidLastSave="{00000000-0000-0000-0000-000000000000}"/>
  <bookViews>
    <workbookView xWindow="0" yWindow="0" windowWidth="28560" windowHeight="13905" firstSheet="2" activeTab="2" xr2:uid="{A22C7B05-6B0A-4116-A99A-60EDDEA67682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B18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3" i="2"/>
  <c r="E2" i="2"/>
  <c r="E14" i="2"/>
  <c r="E15" i="2"/>
  <c r="E12" i="2"/>
  <c r="E4" i="2"/>
  <c r="E11" i="2"/>
  <c r="E7" i="2"/>
  <c r="E8" i="2"/>
  <c r="E9" i="2"/>
  <c r="E5" i="2"/>
  <c r="E6" i="2"/>
  <c r="E3" i="2"/>
  <c r="E10" i="2"/>
  <c r="A20" i="1"/>
  <c r="E46" i="1"/>
  <c r="E45" i="1"/>
  <c r="E44" i="1"/>
  <c r="E43" i="1"/>
  <c r="E42" i="1"/>
  <c r="E41" i="1"/>
  <c r="E34" i="1"/>
  <c r="E26" i="1"/>
  <c r="E25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AC11" i="1"/>
  <c r="AC10" i="1"/>
  <c r="AC9" i="1"/>
  <c r="AC8" i="1"/>
  <c r="AC7" i="1"/>
  <c r="AC6" i="1"/>
  <c r="AC5" i="1"/>
  <c r="AC4" i="1"/>
  <c r="AC3" i="1"/>
  <c r="AC2" i="1"/>
  <c r="E30" i="1"/>
  <c r="A18" i="1"/>
  <c r="Q9" i="1"/>
  <c r="Q8" i="1"/>
  <c r="Q7" i="1"/>
  <c r="Q6" i="1"/>
  <c r="Q5" i="1"/>
  <c r="Q4" i="1"/>
  <c r="Q3" i="1"/>
  <c r="Q2" i="1"/>
  <c r="K3" i="1"/>
  <c r="K2" i="1"/>
  <c r="A19" i="1" l="1"/>
  <c r="A17" i="1"/>
</calcChain>
</file>

<file path=xl/sharedStrings.xml><?xml version="1.0" encoding="utf-8"?>
<sst xmlns="http://schemas.openxmlformats.org/spreadsheetml/2006/main" count="197" uniqueCount="27">
  <si>
    <t>CODIGO</t>
  </si>
  <si>
    <t>DESCRIPCION</t>
  </si>
  <si>
    <t>Cantidad</t>
  </si>
  <si>
    <t>PRECIO UNIT.</t>
  </si>
  <si>
    <t>TOTAL</t>
  </si>
  <si>
    <t>T</t>
  </si>
  <si>
    <t>Televisor 32"</t>
  </si>
  <si>
    <t>Televisor 42" LED</t>
  </si>
  <si>
    <t>H</t>
  </si>
  <si>
    <t>Heladera 12 pies, con freezer</t>
  </si>
  <si>
    <t>C</t>
  </si>
  <si>
    <t>Cocina 4 hornallas</t>
  </si>
  <si>
    <t>TV portatil (12V)</t>
  </si>
  <si>
    <t>Freezer carga superior</t>
  </si>
  <si>
    <t>R</t>
  </si>
  <si>
    <t>Radio onda corta</t>
  </si>
  <si>
    <t>Radio AM/FM 3 bandas</t>
  </si>
  <si>
    <t>Radio con CD y mp3</t>
  </si>
  <si>
    <t>Televisor 42" LED 3D</t>
  </si>
  <si>
    <t>V</t>
  </si>
  <si>
    <t>Ventilador 25" giratorio</t>
  </si>
  <si>
    <t>Aire acondicionado F/C</t>
  </si>
  <si>
    <t>Cocina industrial 6 hornallas</t>
  </si>
  <si>
    <t>Anafe 2 hornallas</t>
  </si>
  <si>
    <t>Importe total</t>
  </si>
  <si>
    <t>Contar productos</t>
  </si>
  <si>
    <t>Promedio de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</si>
</sst>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_ ;_-[$$-409]* \-#,##0\ ;_-[$$-409]* &quot;-&quot;??_ ;_-@_ 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18"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AC46"/>
  <sheetViews>
    <sheetView workbookViewId="0">
      <selection sqref="A1:E15"/>
    </sheetView>
  </sheetViews>
  <sheetFormatPr defaultColWidth="11.42578125" defaultRowHeight="15"/>
  <cols>
    <col min="1" max="1" width="30.5703125" bestFit="1" customWidth="1"/>
    <col min="2" max="2" width="26.28515625" bestFit="1" customWidth="1"/>
    <col min="4" max="5" width="13.710937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</row>
    <row r="2" spans="1:29">
      <c r="A2" s="2" t="s">
        <v>5</v>
      </c>
      <c r="B2" s="2" t="s">
        <v>6</v>
      </c>
      <c r="C2" s="2">
        <v>12</v>
      </c>
      <c r="D2" s="3">
        <v>6500</v>
      </c>
      <c r="E2" s="3">
        <f>PRODUCT(C2,D2)</f>
        <v>78000</v>
      </c>
      <c r="G2" s="2" t="s">
        <v>5</v>
      </c>
      <c r="H2" s="2" t="s">
        <v>7</v>
      </c>
      <c r="I2" s="2">
        <v>8</v>
      </c>
      <c r="J2" s="3">
        <v>7800</v>
      </c>
      <c r="K2" s="3">
        <f t="shared" ref="K2:K3" si="0">I2*J2</f>
        <v>62400</v>
      </c>
      <c r="M2" s="2" t="s">
        <v>8</v>
      </c>
      <c r="N2" s="2" t="s">
        <v>9</v>
      </c>
      <c r="O2" s="2">
        <v>7</v>
      </c>
      <c r="P2" s="3">
        <v>8500</v>
      </c>
      <c r="Q2" s="3">
        <f>O2*P2</f>
        <v>59500</v>
      </c>
      <c r="Y2" s="2" t="s">
        <v>5</v>
      </c>
      <c r="Z2" s="2" t="s">
        <v>6</v>
      </c>
      <c r="AA2" s="2">
        <v>12</v>
      </c>
      <c r="AB2" s="3">
        <v>6500</v>
      </c>
      <c r="AC2" s="3">
        <f>AA2*AB2</f>
        <v>78000</v>
      </c>
    </row>
    <row r="3" spans="1:29">
      <c r="A3" s="2" t="s">
        <v>10</v>
      </c>
      <c r="B3" s="2" t="s">
        <v>11</v>
      </c>
      <c r="C3" s="2">
        <v>10</v>
      </c>
      <c r="D3" s="3">
        <v>4800</v>
      </c>
      <c r="E3" s="3">
        <f t="shared" ref="E3:E15" si="1">PRODUCT(C3,D3)</f>
        <v>48000</v>
      </c>
      <c r="G3" s="2" t="s">
        <v>5</v>
      </c>
      <c r="H3" s="2" t="s">
        <v>12</v>
      </c>
      <c r="I3" s="2">
        <v>1</v>
      </c>
      <c r="J3" s="3">
        <v>1800</v>
      </c>
      <c r="K3" s="3">
        <f t="shared" si="0"/>
        <v>1800</v>
      </c>
      <c r="M3" s="2" t="s">
        <v>8</v>
      </c>
      <c r="N3" s="2" t="s">
        <v>13</v>
      </c>
      <c r="O3" s="2">
        <v>4</v>
      </c>
      <c r="P3" s="3">
        <v>5000</v>
      </c>
      <c r="Q3" s="3">
        <f>O3*P3</f>
        <v>20000</v>
      </c>
      <c r="Y3" s="2" t="s">
        <v>10</v>
      </c>
      <c r="Z3" s="2" t="s">
        <v>11</v>
      </c>
      <c r="AA3" s="2">
        <v>10</v>
      </c>
      <c r="AB3" s="3">
        <v>4800</v>
      </c>
      <c r="AC3" s="3">
        <f t="shared" ref="AC3" si="2">AA3*AB3</f>
        <v>48000</v>
      </c>
    </row>
    <row r="4" spans="1:29">
      <c r="A4" s="2" t="s">
        <v>8</v>
      </c>
      <c r="B4" s="2" t="s">
        <v>9</v>
      </c>
      <c r="C4" s="2">
        <v>7</v>
      </c>
      <c r="D4" s="3">
        <v>8500</v>
      </c>
      <c r="E4" s="3">
        <f t="shared" si="1"/>
        <v>59500</v>
      </c>
      <c r="M4" s="2" t="s">
        <v>14</v>
      </c>
      <c r="N4" s="2" t="s">
        <v>15</v>
      </c>
      <c r="O4" s="2">
        <v>4</v>
      </c>
      <c r="P4" s="3">
        <v>1800</v>
      </c>
      <c r="Q4" s="3">
        <f>O4*P4</f>
        <v>7200</v>
      </c>
      <c r="Y4" s="2" t="s">
        <v>8</v>
      </c>
      <c r="Z4" s="2" t="s">
        <v>13</v>
      </c>
      <c r="AA4" s="2">
        <v>4</v>
      </c>
      <c r="AB4" s="3">
        <v>5000</v>
      </c>
      <c r="AC4" s="3">
        <f>AA4*AB4</f>
        <v>20000</v>
      </c>
    </row>
    <row r="5" spans="1:29">
      <c r="A5" s="2" t="s">
        <v>8</v>
      </c>
      <c r="B5" s="2" t="s">
        <v>13</v>
      </c>
      <c r="C5" s="2">
        <v>4</v>
      </c>
      <c r="D5" s="3">
        <v>5000</v>
      </c>
      <c r="E5" s="3">
        <f t="shared" si="1"/>
        <v>20000</v>
      </c>
      <c r="M5" s="2" t="s">
        <v>14</v>
      </c>
      <c r="N5" s="2" t="s">
        <v>16</v>
      </c>
      <c r="O5" s="2">
        <v>5</v>
      </c>
      <c r="P5" s="3">
        <v>1200</v>
      </c>
      <c r="Q5" s="3">
        <f>O5*P5</f>
        <v>6000</v>
      </c>
      <c r="Y5" s="2" t="s">
        <v>14</v>
      </c>
      <c r="Z5" s="2" t="s">
        <v>15</v>
      </c>
      <c r="AA5" s="2">
        <v>4</v>
      </c>
      <c r="AB5" s="3">
        <v>1800</v>
      </c>
      <c r="AC5" s="3">
        <f>AA5*AB5</f>
        <v>7200</v>
      </c>
    </row>
    <row r="6" spans="1:29">
      <c r="A6" s="2" t="s">
        <v>14</v>
      </c>
      <c r="B6" s="2" t="s">
        <v>15</v>
      </c>
      <c r="C6" s="2">
        <v>4</v>
      </c>
      <c r="D6" s="3">
        <v>1800</v>
      </c>
      <c r="E6" s="3">
        <f t="shared" si="1"/>
        <v>7200</v>
      </c>
      <c r="M6" s="2" t="s">
        <v>5</v>
      </c>
      <c r="N6" s="2" t="s">
        <v>7</v>
      </c>
      <c r="O6" s="2">
        <v>8</v>
      </c>
      <c r="P6" s="3">
        <v>7800</v>
      </c>
      <c r="Q6" s="3">
        <f>O6*P6</f>
        <v>62400</v>
      </c>
      <c r="Y6" s="2" t="s">
        <v>14</v>
      </c>
      <c r="Z6" s="2" t="s">
        <v>17</v>
      </c>
      <c r="AA6" s="2">
        <v>3</v>
      </c>
      <c r="AB6" s="3">
        <v>2600</v>
      </c>
      <c r="AC6" s="3">
        <f>AA6*AB6</f>
        <v>7800</v>
      </c>
    </row>
    <row r="7" spans="1:29">
      <c r="A7" s="2" t="s">
        <v>14</v>
      </c>
      <c r="B7" s="2" t="s">
        <v>17</v>
      </c>
      <c r="C7" s="2">
        <v>3</v>
      </c>
      <c r="D7" s="3">
        <v>2600</v>
      </c>
      <c r="E7" s="3">
        <f t="shared" si="1"/>
        <v>7800</v>
      </c>
      <c r="M7" s="2" t="s">
        <v>5</v>
      </c>
      <c r="N7" s="2" t="s">
        <v>18</v>
      </c>
      <c r="O7" s="2">
        <v>8</v>
      </c>
      <c r="P7" s="3">
        <v>12000</v>
      </c>
      <c r="Q7" s="3">
        <f>O7*P7</f>
        <v>96000</v>
      </c>
      <c r="Y7" s="2" t="s">
        <v>14</v>
      </c>
      <c r="Z7" s="2" t="s">
        <v>16</v>
      </c>
      <c r="AA7" s="2">
        <v>5</v>
      </c>
      <c r="AB7" s="3">
        <v>1200</v>
      </c>
      <c r="AC7" s="3">
        <f>AA7*AB7</f>
        <v>6000</v>
      </c>
    </row>
    <row r="8" spans="1:29">
      <c r="A8" s="2" t="s">
        <v>14</v>
      </c>
      <c r="B8" s="2" t="s">
        <v>16</v>
      </c>
      <c r="C8" s="2">
        <v>5</v>
      </c>
      <c r="D8" s="3">
        <v>1200</v>
      </c>
      <c r="E8" s="3">
        <f t="shared" si="1"/>
        <v>6000</v>
      </c>
      <c r="M8" s="2" t="s">
        <v>19</v>
      </c>
      <c r="N8" s="2" t="s">
        <v>20</v>
      </c>
      <c r="O8" s="2">
        <v>6</v>
      </c>
      <c r="P8" s="3">
        <v>2500</v>
      </c>
      <c r="Q8" s="3">
        <f>O8*P8</f>
        <v>15000</v>
      </c>
      <c r="Y8" s="2" t="s">
        <v>19</v>
      </c>
      <c r="Z8" s="2" t="s">
        <v>20</v>
      </c>
      <c r="AA8" s="2">
        <v>6</v>
      </c>
      <c r="AB8" s="3">
        <v>2500</v>
      </c>
      <c r="AC8" s="3">
        <f>AA8*AB8</f>
        <v>15000</v>
      </c>
    </row>
    <row r="9" spans="1:29">
      <c r="A9" s="2" t="s">
        <v>5</v>
      </c>
      <c r="B9" s="2" t="s">
        <v>7</v>
      </c>
      <c r="C9" s="2">
        <v>8</v>
      </c>
      <c r="D9" s="3">
        <v>7800</v>
      </c>
      <c r="E9" s="3">
        <f t="shared" si="1"/>
        <v>62400</v>
      </c>
      <c r="M9" s="2" t="s">
        <v>19</v>
      </c>
      <c r="N9" s="2" t="s">
        <v>21</v>
      </c>
      <c r="O9" s="2">
        <v>6</v>
      </c>
      <c r="P9" s="3">
        <v>6500</v>
      </c>
      <c r="Q9" s="3">
        <f>O9*P9</f>
        <v>39000</v>
      </c>
      <c r="Y9" s="2" t="s">
        <v>19</v>
      </c>
      <c r="Z9" s="2" t="s">
        <v>21</v>
      </c>
      <c r="AA9" s="2">
        <v>6</v>
      </c>
      <c r="AB9" s="3">
        <v>6500</v>
      </c>
      <c r="AC9" s="3">
        <f>AA9*AB9</f>
        <v>39000</v>
      </c>
    </row>
    <row r="10" spans="1:29">
      <c r="A10" s="2" t="s">
        <v>10</v>
      </c>
      <c r="B10" s="2" t="s">
        <v>22</v>
      </c>
      <c r="C10" s="2">
        <v>2</v>
      </c>
      <c r="D10" s="3">
        <v>9400</v>
      </c>
      <c r="E10" s="3">
        <f t="shared" si="1"/>
        <v>18800</v>
      </c>
      <c r="Y10" s="2" t="s">
        <v>10</v>
      </c>
      <c r="Z10" s="2" t="s">
        <v>23</v>
      </c>
      <c r="AA10" s="2">
        <v>2</v>
      </c>
      <c r="AB10" s="3">
        <v>2400</v>
      </c>
      <c r="AC10" s="3">
        <f t="shared" ref="AC10:AC11" si="3">AA10*AB10</f>
        <v>4800</v>
      </c>
    </row>
    <row r="11" spans="1:29">
      <c r="A11" s="2" t="s">
        <v>5</v>
      </c>
      <c r="B11" s="2" t="s">
        <v>18</v>
      </c>
      <c r="C11" s="2">
        <v>8</v>
      </c>
      <c r="D11" s="3">
        <v>12000</v>
      </c>
      <c r="E11" s="3">
        <f t="shared" si="1"/>
        <v>96000</v>
      </c>
      <c r="Y11" s="2" t="s">
        <v>5</v>
      </c>
      <c r="Z11" s="2" t="s">
        <v>12</v>
      </c>
      <c r="AA11" s="2">
        <v>1</v>
      </c>
      <c r="AB11" s="3">
        <v>1800</v>
      </c>
      <c r="AC11" s="3">
        <f t="shared" si="3"/>
        <v>1800</v>
      </c>
    </row>
    <row r="12" spans="1:29">
      <c r="A12" s="2" t="s">
        <v>19</v>
      </c>
      <c r="B12" s="2" t="s">
        <v>20</v>
      </c>
      <c r="C12" s="2">
        <v>6</v>
      </c>
      <c r="D12" s="3">
        <v>2500</v>
      </c>
      <c r="E12" s="3">
        <f t="shared" si="1"/>
        <v>15000</v>
      </c>
    </row>
    <row r="13" spans="1:29">
      <c r="A13" s="2" t="s">
        <v>19</v>
      </c>
      <c r="B13" s="2" t="s">
        <v>21</v>
      </c>
      <c r="C13" s="2">
        <v>6</v>
      </c>
      <c r="D13" s="3">
        <v>6500</v>
      </c>
      <c r="E13" s="3">
        <f t="shared" si="1"/>
        <v>39000</v>
      </c>
    </row>
    <row r="14" spans="1:29">
      <c r="A14" s="2" t="s">
        <v>10</v>
      </c>
      <c r="B14" s="2" t="s">
        <v>23</v>
      </c>
      <c r="C14" s="2">
        <v>2</v>
      </c>
      <c r="D14" s="3">
        <v>2400</v>
      </c>
      <c r="E14" s="3">
        <f t="shared" si="1"/>
        <v>4800</v>
      </c>
    </row>
    <row r="15" spans="1:29">
      <c r="A15" s="2" t="s">
        <v>5</v>
      </c>
      <c r="B15" s="2" t="s">
        <v>12</v>
      </c>
      <c r="C15" s="2">
        <v>1</v>
      </c>
      <c r="D15" s="3">
        <v>1800</v>
      </c>
      <c r="E15" s="3">
        <f t="shared" si="1"/>
        <v>1800</v>
      </c>
    </row>
    <row r="17" spans="1:5">
      <c r="A17">
        <f>DMAX(A1:E15,4,A24:E26)</f>
        <v>8500</v>
      </c>
    </row>
    <row r="18" spans="1:5">
      <c r="A18">
        <f>DSUM(A1:E15,5,A29:E30)</f>
        <v>6000</v>
      </c>
    </row>
    <row r="19" spans="1:5">
      <c r="A19">
        <f>DGET(A1:E15,4,A33:E34)</f>
        <v>1800</v>
      </c>
    </row>
    <row r="20" spans="1:5">
      <c r="A20">
        <f>DCOUNTA(A1:E15,2,A40:E46)</f>
        <v>6</v>
      </c>
    </row>
    <row r="24" spans="1: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</row>
    <row r="25" spans="1:5">
      <c r="A25" s="2" t="s">
        <v>8</v>
      </c>
      <c r="B25" s="2" t="s">
        <v>9</v>
      </c>
      <c r="C25" s="2">
        <v>7</v>
      </c>
      <c r="D25" s="3">
        <v>8500</v>
      </c>
      <c r="E25" s="3">
        <f t="shared" ref="E25:E26" si="4">PRODUCT(C25,D25)</f>
        <v>59500</v>
      </c>
    </row>
    <row r="26" spans="1:5">
      <c r="A26" s="2" t="s">
        <v>8</v>
      </c>
      <c r="B26" s="2" t="s">
        <v>13</v>
      </c>
      <c r="C26" s="2">
        <v>4</v>
      </c>
      <c r="D26" s="3">
        <v>5000</v>
      </c>
      <c r="E26" s="3">
        <f t="shared" si="4"/>
        <v>20000</v>
      </c>
    </row>
    <row r="29" spans="1: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</row>
    <row r="30" spans="1:5">
      <c r="A30" s="2" t="s">
        <v>14</v>
      </c>
      <c r="B30" s="2" t="s">
        <v>16</v>
      </c>
      <c r="C30" s="2">
        <v>5</v>
      </c>
      <c r="D30" s="3">
        <v>1200</v>
      </c>
      <c r="E30" s="3">
        <f>C30*D30</f>
        <v>6000</v>
      </c>
    </row>
    <row r="33" spans="1: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</row>
    <row r="34" spans="1:5">
      <c r="A34" s="2" t="s">
        <v>14</v>
      </c>
      <c r="B34" s="2" t="s">
        <v>15</v>
      </c>
      <c r="C34" s="2">
        <v>4</v>
      </c>
      <c r="D34" s="3">
        <v>1800</v>
      </c>
      <c r="E34" s="3">
        <f t="shared" ref="E34" si="5">PRODUCT(C34,D34)</f>
        <v>7200</v>
      </c>
    </row>
    <row r="40" spans="1: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</row>
    <row r="41" spans="1:5">
      <c r="A41" s="2" t="s">
        <v>8</v>
      </c>
      <c r="B41" s="2" t="s">
        <v>9</v>
      </c>
      <c r="C41" s="2">
        <v>7</v>
      </c>
      <c r="D41" s="3">
        <v>8500</v>
      </c>
      <c r="E41" s="3">
        <f t="shared" ref="E41:E46" si="6">PRODUCT(C41,D41)</f>
        <v>59500</v>
      </c>
    </row>
    <row r="42" spans="1:5">
      <c r="A42" s="2" t="s">
        <v>14</v>
      </c>
      <c r="B42" s="2" t="s">
        <v>16</v>
      </c>
      <c r="C42" s="2">
        <v>5</v>
      </c>
      <c r="D42" s="3">
        <v>1200</v>
      </c>
      <c r="E42" s="3">
        <f t="shared" si="6"/>
        <v>6000</v>
      </c>
    </row>
    <row r="43" spans="1:5">
      <c r="A43" s="2" t="s">
        <v>5</v>
      </c>
      <c r="B43" s="2" t="s">
        <v>7</v>
      </c>
      <c r="C43" s="2">
        <v>8</v>
      </c>
      <c r="D43" s="3">
        <v>7800</v>
      </c>
      <c r="E43" s="3">
        <f t="shared" si="6"/>
        <v>62400</v>
      </c>
    </row>
    <row r="44" spans="1:5">
      <c r="A44" s="2" t="s">
        <v>5</v>
      </c>
      <c r="B44" s="2" t="s">
        <v>18</v>
      </c>
      <c r="C44" s="2">
        <v>8</v>
      </c>
      <c r="D44" s="3">
        <v>12000</v>
      </c>
      <c r="E44" s="3">
        <f t="shared" si="6"/>
        <v>96000</v>
      </c>
    </row>
    <row r="45" spans="1:5">
      <c r="A45" s="2" t="s">
        <v>19</v>
      </c>
      <c r="B45" s="2" t="s">
        <v>20</v>
      </c>
      <c r="C45" s="2">
        <v>6</v>
      </c>
      <c r="D45" s="3">
        <v>2500</v>
      </c>
      <c r="E45" s="3">
        <f t="shared" si="6"/>
        <v>15000</v>
      </c>
    </row>
    <row r="46" spans="1:5">
      <c r="A46" s="2" t="s">
        <v>19</v>
      </c>
      <c r="B46" s="2" t="s">
        <v>21</v>
      </c>
      <c r="C46" s="2">
        <v>6</v>
      </c>
      <c r="D46" s="3">
        <v>6500</v>
      </c>
      <c r="E46" s="3">
        <f t="shared" si="6"/>
        <v>39000</v>
      </c>
    </row>
  </sheetData>
  <autoFilter ref="A1:E15" xr:uid="{F274FABB-DF5C-4F9E-B98F-F8DC866DADF5}"/>
  <conditionalFormatting sqref="C2:C15 C30">
    <cfRule type="cellIs" dxfId="17" priority="30" operator="lessThanOrEqual">
      <formula>3</formula>
    </cfRule>
  </conditionalFormatting>
  <conditionalFormatting sqref="C2:C15 C30">
    <cfRule type="cellIs" dxfId="16" priority="29" operator="greaterThanOrEqual">
      <formula>7</formula>
    </cfRule>
  </conditionalFormatting>
  <conditionalFormatting sqref="I2:I3">
    <cfRule type="cellIs" dxfId="15" priority="18" operator="lessThanOrEqual">
      <formula>3</formula>
    </cfRule>
  </conditionalFormatting>
  <conditionalFormatting sqref="I2:I3">
    <cfRule type="cellIs" dxfId="14" priority="17" operator="greaterThanOrEqual">
      <formula>7</formula>
    </cfRule>
  </conditionalFormatting>
  <conditionalFormatting sqref="O2:O9">
    <cfRule type="cellIs" dxfId="13" priority="16" operator="lessThanOrEqual">
      <formula>3</formula>
    </cfRule>
  </conditionalFormatting>
  <conditionalFormatting sqref="O2:O9">
    <cfRule type="cellIs" dxfId="12" priority="15" operator="greaterThanOrEqual">
      <formula>7</formula>
    </cfRule>
  </conditionalFormatting>
  <conditionalFormatting sqref="AA2:AA11">
    <cfRule type="cellIs" dxfId="11" priority="12" operator="lessThanOrEqual">
      <formula>3</formula>
    </cfRule>
  </conditionalFormatting>
  <conditionalFormatting sqref="AA2:AA11">
    <cfRule type="cellIs" dxfId="10" priority="11" operator="greaterThanOrEqual">
      <formula>7</formula>
    </cfRule>
  </conditionalFormatting>
  <conditionalFormatting sqref="C25:C26">
    <cfRule type="cellIs" dxfId="9" priority="10" operator="lessThanOrEqual">
      <formula>3</formula>
    </cfRule>
  </conditionalFormatting>
  <conditionalFormatting sqref="C25:C26">
    <cfRule type="cellIs" dxfId="8" priority="9" operator="greaterThanOrEqual">
      <formula>7</formula>
    </cfRule>
  </conditionalFormatting>
  <conditionalFormatting sqref="C34">
    <cfRule type="cellIs" dxfId="7" priority="6" operator="lessThanOrEqual">
      <formula>3</formula>
    </cfRule>
  </conditionalFormatting>
  <conditionalFormatting sqref="C34">
    <cfRule type="cellIs" dxfId="6" priority="5" operator="greaterThanOrEqual">
      <formula>7</formula>
    </cfRule>
  </conditionalFormatting>
  <conditionalFormatting sqref="C41:C46">
    <cfRule type="cellIs" dxfId="5" priority="2" operator="lessThanOrEqual">
      <formula>3</formula>
    </cfRule>
  </conditionalFormatting>
  <conditionalFormatting sqref="C41:C46">
    <cfRule type="cellIs" dxfId="4" priority="1" operator="greaterThanOrEqual">
      <formula>7</formula>
    </cfRule>
  </conditionalFormatting>
  <dataValidations count="2">
    <dataValidation type="textLength" allowBlank="1" showInputMessage="1" showErrorMessage="1" error="La longitud de texto no es la permitida" prompt="La longitud del campo debe ser mayor o igual que 4 caracteres y menor o igual a 25 caracteres" sqref="B1:B15 B24:B26 B33:B34 B40:B46" xr:uid="{73F7FBE3-7EFF-4A54-B5E2-5A50FD595BE3}">
      <formula1>4</formula1>
      <formula2>25</formula2>
    </dataValidation>
    <dataValidation type="list" allowBlank="1" showInputMessage="1" showErrorMessage="1" sqref="A1:A15 A24:A26 A33:A34 A40:A46" xr:uid="{2BFAC08F-081F-46EA-8860-11E3F848506B}">
      <formula1>"T;C;R;V;H"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0700-3286-4718-A802-D0FA9119096E}">
  <dimension ref="A1:E15"/>
  <sheetViews>
    <sheetView workbookViewId="0">
      <selection sqref="A1:E15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10</v>
      </c>
      <c r="B2" s="2" t="s">
        <v>23</v>
      </c>
      <c r="C2" s="2">
        <v>2</v>
      </c>
      <c r="D2" s="3">
        <v>2400</v>
      </c>
      <c r="E2" s="3">
        <f>PRODUCT(C2,D2)</f>
        <v>4800</v>
      </c>
    </row>
    <row r="3" spans="1:5">
      <c r="A3" s="2" t="s">
        <v>10</v>
      </c>
      <c r="B3" s="2" t="s">
        <v>11</v>
      </c>
      <c r="C3" s="2">
        <v>10</v>
      </c>
      <c r="D3" s="3">
        <v>4800</v>
      </c>
      <c r="E3" s="3">
        <f>PRODUCT(C3,D3)</f>
        <v>48000</v>
      </c>
    </row>
    <row r="4" spans="1:5">
      <c r="A4" s="2" t="s">
        <v>10</v>
      </c>
      <c r="B4" s="2" t="s">
        <v>22</v>
      </c>
      <c r="C4" s="2">
        <v>2</v>
      </c>
      <c r="D4" s="3">
        <v>9400</v>
      </c>
      <c r="E4" s="3">
        <f>PRODUCT(C4,D4)</f>
        <v>18800</v>
      </c>
    </row>
    <row r="5" spans="1:5">
      <c r="A5" s="2" t="s">
        <v>8</v>
      </c>
      <c r="B5" s="2" t="s">
        <v>13</v>
      </c>
      <c r="C5" s="2">
        <v>4</v>
      </c>
      <c r="D5" s="3">
        <v>5000</v>
      </c>
      <c r="E5" s="3">
        <f>PRODUCT(C5,D5)</f>
        <v>20000</v>
      </c>
    </row>
    <row r="6" spans="1:5">
      <c r="A6" s="2" t="s">
        <v>8</v>
      </c>
      <c r="B6" s="2" t="s">
        <v>9</v>
      </c>
      <c r="C6" s="2">
        <v>7</v>
      </c>
      <c r="D6" s="3">
        <v>8500</v>
      </c>
      <c r="E6" s="3">
        <f>PRODUCT(C6,D6)</f>
        <v>59500</v>
      </c>
    </row>
    <row r="7" spans="1:5">
      <c r="A7" s="2" t="s">
        <v>14</v>
      </c>
      <c r="B7" s="2" t="s">
        <v>16</v>
      </c>
      <c r="C7" s="2">
        <v>5</v>
      </c>
      <c r="D7" s="3">
        <v>1200</v>
      </c>
      <c r="E7" s="3">
        <f>PRODUCT(C7,D7)</f>
        <v>6000</v>
      </c>
    </row>
    <row r="8" spans="1:5">
      <c r="A8" s="2" t="s">
        <v>14</v>
      </c>
      <c r="B8" s="2" t="s">
        <v>17</v>
      </c>
      <c r="C8" s="2">
        <v>3</v>
      </c>
      <c r="D8" s="3">
        <v>2600</v>
      </c>
      <c r="E8" s="3">
        <f>PRODUCT(C8,D8)</f>
        <v>7800</v>
      </c>
    </row>
    <row r="9" spans="1:5">
      <c r="A9" s="2" t="s">
        <v>14</v>
      </c>
      <c r="B9" s="2" t="s">
        <v>15</v>
      </c>
      <c r="C9" s="2">
        <v>4</v>
      </c>
      <c r="D9" s="3">
        <v>1800</v>
      </c>
      <c r="E9" s="3">
        <f>PRODUCT(C9,D9)</f>
        <v>7200</v>
      </c>
    </row>
    <row r="10" spans="1:5">
      <c r="A10" s="2" t="s">
        <v>5</v>
      </c>
      <c r="B10" s="2" t="s">
        <v>6</v>
      </c>
      <c r="C10" s="2">
        <v>12</v>
      </c>
      <c r="D10" s="3">
        <v>6500</v>
      </c>
      <c r="E10" s="3">
        <f>PRODUCT(C10,D10)</f>
        <v>78000</v>
      </c>
    </row>
    <row r="11" spans="1:5">
      <c r="A11" s="2" t="s">
        <v>5</v>
      </c>
      <c r="B11" s="2" t="s">
        <v>7</v>
      </c>
      <c r="C11" s="2">
        <v>8</v>
      </c>
      <c r="D11" s="3">
        <v>7800</v>
      </c>
      <c r="E11" s="3">
        <f>PRODUCT(C11,D11)</f>
        <v>62400</v>
      </c>
    </row>
    <row r="12" spans="1:5">
      <c r="A12" s="2" t="s">
        <v>5</v>
      </c>
      <c r="B12" s="2" t="s">
        <v>18</v>
      </c>
      <c r="C12" s="2">
        <v>8</v>
      </c>
      <c r="D12" s="3">
        <v>12000</v>
      </c>
      <c r="E12" s="3">
        <f>PRODUCT(C12,D12)</f>
        <v>96000</v>
      </c>
    </row>
    <row r="13" spans="1:5">
      <c r="A13" s="2" t="s">
        <v>5</v>
      </c>
      <c r="B13" s="2" t="s">
        <v>12</v>
      </c>
      <c r="C13" s="2">
        <v>1</v>
      </c>
      <c r="D13" s="3">
        <v>1800</v>
      </c>
      <c r="E13" s="3">
        <f>PRODUCT(C13,D13)</f>
        <v>1800</v>
      </c>
    </row>
    <row r="14" spans="1:5">
      <c r="A14" s="2" t="s">
        <v>19</v>
      </c>
      <c r="B14" s="2" t="s">
        <v>21</v>
      </c>
      <c r="C14" s="2">
        <v>6</v>
      </c>
      <c r="D14" s="3">
        <v>6500</v>
      </c>
      <c r="E14" s="3">
        <f>PRODUCT(C14,D14)</f>
        <v>39000</v>
      </c>
    </row>
    <row r="15" spans="1:5">
      <c r="A15" s="2" t="s">
        <v>19</v>
      </c>
      <c r="B15" s="2" t="s">
        <v>20</v>
      </c>
      <c r="C15" s="2">
        <v>6</v>
      </c>
      <c r="D15" s="3">
        <v>2500</v>
      </c>
      <c r="E15" s="3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conditionalFormatting sqref="C2:C15">
    <cfRule type="cellIs" dxfId="3" priority="2" operator="lessThanOrEqual">
      <formula>3</formula>
    </cfRule>
  </conditionalFormatting>
  <conditionalFormatting sqref="C2:C15">
    <cfRule type="cellIs" dxfId="2" priority="1" operator="greaterThanOrEqual">
      <formula>7</formula>
    </cfRule>
  </conditionalFormatting>
  <dataValidations count="2">
    <dataValidation type="list" allowBlank="1" showInputMessage="1" showErrorMessage="1" sqref="A1:A15" xr:uid="{0573F9F6-B6D2-4070-97DE-E8AE1971FEA2}">
      <formula1>"T;C;R;V;H"</formula1>
    </dataValidation>
    <dataValidation type="textLength" allowBlank="1" showInputMessage="1" showErrorMessage="1" error="La longitud de texto no es la permitida" prompt="La longitud del campo debe ser mayor o igual que 4 caracteres y menor o igual a 25 caracteres" sqref="B1:B15" xr:uid="{0453932F-B34D-44D0-8C6C-CE88B9E2EBD4}">
      <formula1>4</formula1>
      <formula2>25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EF2C2-AC27-4B14-ADDA-3ECABEB9DD32}">
  <dimension ref="A1:E20"/>
  <sheetViews>
    <sheetView tabSelected="1" topLeftCell="A4" workbookViewId="0">
      <selection activeCell="B21" sqref="B21"/>
    </sheetView>
  </sheetViews>
  <sheetFormatPr defaultRowHeight="15"/>
  <cols>
    <col min="1" max="1" width="19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10</v>
      </c>
      <c r="B2" s="2" t="s">
        <v>23</v>
      </c>
      <c r="C2" s="2">
        <v>2</v>
      </c>
      <c r="D2" s="3">
        <v>2400</v>
      </c>
      <c r="E2" s="3">
        <f>PRODUCT(C2,D2)</f>
        <v>4800</v>
      </c>
    </row>
    <row r="3" spans="1:5">
      <c r="A3" s="2" t="s">
        <v>10</v>
      </c>
      <c r="B3" s="2" t="s">
        <v>11</v>
      </c>
      <c r="C3" s="2">
        <v>10</v>
      </c>
      <c r="D3" s="3">
        <v>4800</v>
      </c>
      <c r="E3" s="3">
        <f>PRODUCT(C3,D3)</f>
        <v>48000</v>
      </c>
    </row>
    <row r="4" spans="1:5">
      <c r="A4" s="2" t="s">
        <v>10</v>
      </c>
      <c r="B4" s="2" t="s">
        <v>22</v>
      </c>
      <c r="C4" s="2">
        <v>2</v>
      </c>
      <c r="D4" s="3">
        <v>9400</v>
      </c>
      <c r="E4" s="3">
        <f>PRODUCT(C4,D4)</f>
        <v>18800</v>
      </c>
    </row>
    <row r="5" spans="1:5">
      <c r="A5" s="2" t="s">
        <v>8</v>
      </c>
      <c r="B5" s="2" t="s">
        <v>13</v>
      </c>
      <c r="C5" s="2">
        <v>4</v>
      </c>
      <c r="D5" s="3">
        <v>5000</v>
      </c>
      <c r="E5" s="3">
        <f>PRODUCT(C5,D5)</f>
        <v>20000</v>
      </c>
    </row>
    <row r="6" spans="1:5">
      <c r="A6" s="2" t="s">
        <v>8</v>
      </c>
      <c r="B6" s="2" t="s">
        <v>9</v>
      </c>
      <c r="C6" s="2">
        <v>7</v>
      </c>
      <c r="D6" s="3">
        <v>8500</v>
      </c>
      <c r="E6" s="3">
        <f>PRODUCT(C6,D6)</f>
        <v>59500</v>
      </c>
    </row>
    <row r="7" spans="1:5">
      <c r="A7" s="2" t="s">
        <v>14</v>
      </c>
      <c r="B7" s="2" t="s">
        <v>16</v>
      </c>
      <c r="C7" s="2">
        <v>5</v>
      </c>
      <c r="D7" s="3">
        <v>1200</v>
      </c>
      <c r="E7" s="3">
        <f>PRODUCT(C7,D7)</f>
        <v>6000</v>
      </c>
    </row>
    <row r="8" spans="1:5">
      <c r="A8" s="2" t="s">
        <v>14</v>
      </c>
      <c r="B8" s="2" t="s">
        <v>17</v>
      </c>
      <c r="C8" s="2">
        <v>3</v>
      </c>
      <c r="D8" s="3">
        <v>2600</v>
      </c>
      <c r="E8" s="3">
        <f>PRODUCT(C8,D8)</f>
        <v>7800</v>
      </c>
    </row>
    <row r="9" spans="1:5">
      <c r="A9" s="2" t="s">
        <v>14</v>
      </c>
      <c r="B9" s="2" t="s">
        <v>15</v>
      </c>
      <c r="C9" s="2">
        <v>4</v>
      </c>
      <c r="D9" s="3">
        <v>1800</v>
      </c>
      <c r="E9" s="3">
        <f>PRODUCT(C9,D9)</f>
        <v>7200</v>
      </c>
    </row>
    <row r="10" spans="1:5">
      <c r="A10" s="2" t="s">
        <v>5</v>
      </c>
      <c r="B10" s="2" t="s">
        <v>6</v>
      </c>
      <c r="C10" s="2">
        <v>12</v>
      </c>
      <c r="D10" s="3">
        <v>6500</v>
      </c>
      <c r="E10" s="3">
        <f>PRODUCT(C10,D10)</f>
        <v>78000</v>
      </c>
    </row>
    <row r="11" spans="1:5">
      <c r="A11" s="2" t="s">
        <v>5</v>
      </c>
      <c r="B11" s="2" t="s">
        <v>7</v>
      </c>
      <c r="C11" s="2">
        <v>8</v>
      </c>
      <c r="D11" s="3">
        <v>7800</v>
      </c>
      <c r="E11" s="3">
        <f>PRODUCT(C11,D11)</f>
        <v>62400</v>
      </c>
    </row>
    <row r="12" spans="1:5">
      <c r="A12" s="2" t="s">
        <v>5</v>
      </c>
      <c r="B12" s="2" t="s">
        <v>18</v>
      </c>
      <c r="C12" s="2">
        <v>8</v>
      </c>
      <c r="D12" s="3">
        <v>12000</v>
      </c>
      <c r="E12" s="3">
        <f>PRODUCT(C12,D12)</f>
        <v>96000</v>
      </c>
    </row>
    <row r="13" spans="1:5">
      <c r="A13" s="2" t="s">
        <v>5</v>
      </c>
      <c r="B13" s="2" t="s">
        <v>12</v>
      </c>
      <c r="C13" s="2">
        <v>1</v>
      </c>
      <c r="D13" s="3">
        <v>1800</v>
      </c>
      <c r="E13" s="3">
        <f>PRODUCT(C13,D13)</f>
        <v>1800</v>
      </c>
    </row>
    <row r="14" spans="1:5">
      <c r="A14" s="2" t="s">
        <v>19</v>
      </c>
      <c r="B14" s="2" t="s">
        <v>21</v>
      </c>
      <c r="C14" s="2">
        <v>6</v>
      </c>
      <c r="D14" s="3">
        <v>6500</v>
      </c>
      <c r="E14" s="3">
        <f>PRODUCT(C14,D14)</f>
        <v>39000</v>
      </c>
    </row>
    <row r="15" spans="1:5">
      <c r="A15" s="2" t="s">
        <v>19</v>
      </c>
      <c r="B15" s="2" t="s">
        <v>20</v>
      </c>
      <c r="C15" s="2">
        <v>6</v>
      </c>
      <c r="D15" s="3">
        <v>2500</v>
      </c>
      <c r="E15" s="3">
        <f>PRODUCT(C15,D15)</f>
        <v>15000</v>
      </c>
    </row>
    <row r="18" spans="1:2">
      <c r="A18" s="4" t="s">
        <v>24</v>
      </c>
      <c r="B18">
        <f>SUMIFS(E2:E15,A2:A15,"C",C2:C15,"&lt;10")</f>
        <v>23600</v>
      </c>
    </row>
    <row r="19" spans="1:2">
      <c r="A19" s="4" t="s">
        <v>25</v>
      </c>
      <c r="B19">
        <f>COUNTIFS(A2:A15,"R",D2:D15,"&gt;2000",C2:C15,"&lt;4")</f>
        <v>1</v>
      </c>
    </row>
    <row r="20" spans="1:2">
      <c r="A20" s="4" t="s">
        <v>26</v>
      </c>
      <c r="B20">
        <f>AVERAGEIFS(E2:E15,B2:B15,"T*",D2:D15,"&lt;12000")</f>
        <v>47400</v>
      </c>
    </row>
  </sheetData>
  <conditionalFormatting sqref="C2:C15">
    <cfRule type="cellIs" dxfId="1" priority="2" operator="lessThanOrEqual">
      <formula>3</formula>
    </cfRule>
  </conditionalFormatting>
  <conditionalFormatting sqref="C2:C15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 texto no es la permitida" prompt="La longitud del campo debe ser mayor o igual que 4 caracteres y menor o igual a 25 caracteres" sqref="B1:B15" xr:uid="{06C92E41-6B59-4DB6-804B-18E21BD56F3E}">
      <formula1>4</formula1>
      <formula2>25</formula2>
    </dataValidation>
    <dataValidation type="list" allowBlank="1" showInputMessage="1" showErrorMessage="1" sqref="A1:A15" xr:uid="{436803C7-A38D-4636-9966-B1BE6906811D}">
      <formula1>"T;C;R;V;H"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2026-02-15T02:04:24Z</dcterms:created>
  <dcterms:modified xsi:type="dcterms:W3CDTF">2026-02-17T17:54:31Z</dcterms:modified>
  <cp:category/>
  <cp:contentStatus/>
</cp:coreProperties>
</file>