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2BCA7F1-0523-4D51-ABB6-34F7B03D0C0C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Inscripciones" sheetId="1" r:id="rId1"/>
    <sheet name="Materias" sheetId="2" r:id="rId2"/>
    <sheet name="Departamentos" sheetId="3" r:id="rId3"/>
    <sheet name="DATOS PERSONA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8" i="1"/>
  <c r="H11" i="1"/>
  <c r="H10" i="1"/>
  <c r="H9" i="1"/>
  <c r="H6" i="1"/>
  <c r="H13" i="1"/>
  <c r="H5" i="1"/>
  <c r="H8" i="1"/>
  <c r="H7" i="1"/>
  <c r="H16" i="1"/>
  <c r="H15" i="1"/>
  <c r="H14" i="1"/>
  <c r="H12" i="1"/>
  <c r="G11" i="1"/>
  <c r="G10" i="1"/>
  <c r="G9" i="1"/>
  <c r="G6" i="1"/>
  <c r="G13" i="1"/>
  <c r="G5" i="1"/>
  <c r="G8" i="1"/>
  <c r="G7" i="1"/>
  <c r="G16" i="1"/>
  <c r="G15" i="1"/>
  <c r="G14" i="1"/>
  <c r="G12" i="1"/>
  <c r="F11" i="1"/>
  <c r="F10" i="1"/>
  <c r="F9" i="1"/>
  <c r="F6" i="1"/>
  <c r="F13" i="1"/>
  <c r="F5" i="1"/>
  <c r="F8" i="1"/>
  <c r="F7" i="1"/>
  <c r="F16" i="1"/>
  <c r="F15" i="1"/>
  <c r="F14" i="1"/>
  <c r="F12" i="1"/>
  <c r="I5" i="1"/>
  <c r="C9" i="1"/>
  <c r="I9" i="1" s="1"/>
  <c r="C12" i="1"/>
  <c r="I12" i="1" s="1"/>
  <c r="C10" i="1"/>
  <c r="I10" i="1" s="1"/>
  <c r="C6" i="1"/>
  <c r="I6" i="1" s="1"/>
  <c r="C13" i="1"/>
  <c r="I13" i="1" s="1"/>
  <c r="C11" i="1"/>
  <c r="I11" i="1" s="1"/>
  <c r="I8" i="1"/>
  <c r="C7" i="1"/>
  <c r="I7" i="1" s="1"/>
  <c r="C16" i="1"/>
  <c r="I16" i="1" s="1"/>
  <c r="C15" i="1"/>
  <c r="I15" i="1" s="1"/>
  <c r="C14" i="1"/>
  <c r="I14" i="1" s="1"/>
  <c r="B12" i="1"/>
  <c r="B11" i="1"/>
  <c r="B10" i="1"/>
  <c r="B9" i="1"/>
  <c r="B6" i="1"/>
  <c r="B13" i="1"/>
  <c r="B5" i="1"/>
  <c r="B8" i="1"/>
  <c r="B7" i="1"/>
  <c r="B16" i="1"/>
  <c r="B15" i="1"/>
  <c r="B14" i="1"/>
</calcChain>
</file>

<file path=xl/sharedStrings.xml><?xml version="1.0" encoding="utf-8"?>
<sst xmlns="http://schemas.openxmlformats.org/spreadsheetml/2006/main" count="49" uniqueCount="30">
  <si>
    <t xml:space="preserve">EXAMENES FINALES </t>
  </si>
  <si>
    <t>Codigo de Materia</t>
  </si>
  <si>
    <t>Codigo de materia</t>
  </si>
  <si>
    <t>Materia</t>
  </si>
  <si>
    <t>Codigo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</si>
  <si>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</si>
  <si>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</si>
  <si>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</si>
  <si>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</si>
  <si>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</si>
  <si>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</si>
  <si>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</si>
  <si>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</si>
  <si>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 xml:space="preserve">C </t>
  </si>
  <si>
    <t xml:space="preserve">Estadística </t>
  </si>
  <si>
    <t>Computación II</t>
  </si>
  <si>
    <t>C</t>
  </si>
  <si>
    <t>Inglés I</t>
  </si>
  <si>
    <t>Anatomía I</t>
  </si>
  <si>
    <t>D</t>
  </si>
  <si>
    <t>Biología I</t>
  </si>
  <si>
    <t>Enfermería</t>
  </si>
  <si>
    <t>Codigo de Departamento</t>
  </si>
  <si>
    <t>Departamento</t>
  </si>
  <si>
    <t xml:space="preserve">Arancel </t>
  </si>
  <si>
    <t>Derecho</t>
  </si>
  <si>
    <t>Ingeniería</t>
  </si>
  <si>
    <t>Económicas</t>
  </si>
  <si>
    <t>Medicina</t>
  </si>
  <si>
    <t>AGUILAR, FLORENCIA MICAELA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</si>
</sst>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14" fontId="0" fillId="4" borderId="0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14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I17"/>
  <sheetViews>
    <sheetView topLeftCell="D1" workbookViewId="0">
      <selection activeCell="I23" sqref="I23"/>
    </sheetView>
  </sheetViews>
  <sheetFormatPr defaultRowHeight="15"/>
  <cols>
    <col min="1" max="1" width="18.5703125" bestFit="1" customWidth="1"/>
    <col min="2" max="2" width="34.140625" bestFit="1" customWidth="1"/>
    <col min="3" max="3" width="36.5703125" bestFit="1" customWidth="1"/>
    <col min="4" max="4" width="16" bestFit="1" customWidth="1"/>
    <col min="5" max="5" width="20.140625" bestFit="1" customWidth="1"/>
    <col min="6" max="7" width="36.5703125" bestFit="1" customWidth="1"/>
    <col min="8" max="8" width="21.5703125" bestFit="1" customWidth="1"/>
    <col min="9" max="9" width="36.5703125" bestFit="1" customWidth="1"/>
  </cols>
  <sheetData>
    <row r="2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4" spans="1:9" s="1" customFormat="1" ht="30.75">
      <c r="A4" s="5" t="s">
        <v>1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7" t="s">
        <v>1</v>
      </c>
    </row>
    <row r="5" spans="1:9">
      <c r="A5" s="8">
        <v>1300</v>
      </c>
      <c r="B5" s="9" t="str">
        <f>VLOOKUP(A5,Materias!$B$3:$D$15,2,0)</f>
        <v>Inglés I</v>
      </c>
      <c r="C5" s="10" t="str">
        <f>VLOOKUP(VLOOKUP(A8,Materias!$B$2:$D$15,3,0),Departamentos!$B$3:$D$7,2,0)</f>
        <v>Derecho</v>
      </c>
      <c r="D5" s="11">
        <v>42578</v>
      </c>
      <c r="E5" s="9">
        <v>215</v>
      </c>
      <c r="F5" s="10" t="str">
        <f>IF(E5&gt;150,"BAJA",IF(E5&lt;200,"NORMAL","ALTA"))</f>
        <v>BAJA</v>
      </c>
      <c r="G5" s="10">
        <f>IF(AND(E5&lt;180,D5&gt;DATE(2016,7,15)),805,812)</f>
        <v>812</v>
      </c>
      <c r="H5" s="11">
        <f>D5+ROUNDUP(E5/10,0)</f>
        <v>42600</v>
      </c>
      <c r="I5" s="12">
        <f>VLOOKUP(C5,Departamentos!$C$3:$D$7,2,0)*E5</f>
        <v>47300</v>
      </c>
    </row>
    <row r="6" spans="1:9">
      <c r="A6" s="8">
        <v>1010</v>
      </c>
      <c r="B6" s="9" t="str">
        <f>VLOOKUP(A6,Materias!$B$3:$D$15,2,0)</f>
        <v>Derecho público</v>
      </c>
      <c r="C6" s="10" t="str">
        <f>VLOOKUP(VLOOKUP(A6,Materias!$B$2:$D$15,3,0),Departamentos!$B$3:$D$7,2,0)</f>
        <v>Derecho</v>
      </c>
      <c r="D6" s="11">
        <v>42569</v>
      </c>
      <c r="E6" s="9">
        <v>202</v>
      </c>
      <c r="F6" s="10" t="str">
        <f>IF(E6&gt;150,"BAJA",IF(E6&lt;200,"NORMAL","ALTA"))</f>
        <v>BAJA</v>
      </c>
      <c r="G6" s="10">
        <f>IF(AND(E6&lt;180,D6&gt;DATE(2016,7,15)),805,812)</f>
        <v>812</v>
      </c>
      <c r="H6" s="11">
        <f>D6+ROUNDUP(E6/10,0)</f>
        <v>42590</v>
      </c>
      <c r="I6" s="12">
        <f>VLOOKUP(C6,Departamentos!$C$3:$D$7,2,0)*E6</f>
        <v>44440</v>
      </c>
    </row>
    <row r="7" spans="1:9">
      <c r="A7" s="8">
        <v>1280</v>
      </c>
      <c r="B7" s="9" t="str">
        <f>VLOOKUP(A7,Materias!$B$3:$D$15,2,0)</f>
        <v>Derecho Penal</v>
      </c>
      <c r="C7" s="10" t="str">
        <f>VLOOKUP(VLOOKUP(A7,Materias!$B$2:$D$15,3,0),Departamentos!$B$3:$D$7,2,0)</f>
        <v>Derecho</v>
      </c>
      <c r="D7" s="11">
        <v>42572</v>
      </c>
      <c r="E7" s="9">
        <v>168</v>
      </c>
      <c r="F7" s="10" t="str">
        <f>IF(E7&gt;150,"BAJA",IF(E7&lt;200,"NORMAL","ALTA"))</f>
        <v>BAJA</v>
      </c>
      <c r="G7" s="10">
        <f>IF(AND(E7&lt;180,D7&gt;DATE(2016,7,15)),805,812)</f>
        <v>805</v>
      </c>
      <c r="H7" s="11">
        <f>D7+ROUNDUP(E7/10,0)</f>
        <v>42589</v>
      </c>
      <c r="I7" s="12">
        <f>VLOOKUP(C7,Departamentos!$C$3:$D$7,2,0)*E7</f>
        <v>36960</v>
      </c>
    </row>
    <row r="8" spans="1:9">
      <c r="A8" s="8">
        <v>1420</v>
      </c>
      <c r="B8" s="9" t="str">
        <f>VLOOKUP(A8,Materias!$B$3:$D$15,2,0)</f>
        <v>Derecho Civil</v>
      </c>
      <c r="C8" s="10" t="str">
        <f>VLOOKUP(VLOOKUP(A8,Materias!$B$2:$D$15,3,0),Departamentos!$B$3:$D$7,2,0)</f>
        <v>Derecho</v>
      </c>
      <c r="D8" s="11">
        <v>42564</v>
      </c>
      <c r="E8" s="9">
        <v>136</v>
      </c>
      <c r="F8" s="10" t="str">
        <f>IF(E8&gt;150,"BAJA",IF(E8&lt;200,"NORMAL","ALTA"))</f>
        <v>NORMAL</v>
      </c>
      <c r="G8" s="10">
        <f>IF(AND(E8&lt;180,D8&gt;DATE(2016,7,15)),805,812)</f>
        <v>812</v>
      </c>
      <c r="H8" s="11">
        <f>D8+ROUNDUP(E8/10,0)</f>
        <v>42578</v>
      </c>
      <c r="I8" s="12">
        <f>VLOOKUP(C8,Departamentos!$C$3:$D$7,2,0)*E8</f>
        <v>29920</v>
      </c>
    </row>
    <row r="9" spans="1:9">
      <c r="A9" s="8">
        <v>1250</v>
      </c>
      <c r="B9" s="9" t="str">
        <f>VLOOKUP(A9,Materias!$B$3:$D$15,2,0)</f>
        <v>Computación II</v>
      </c>
      <c r="C9" s="10" t="str">
        <f>VLOOKUP(VLOOKUP(A6,Materias!$B$2:$D$15,3,0),Departamentos!$B$3:$D$7,2,0)</f>
        <v>Derecho</v>
      </c>
      <c r="D9" s="11">
        <v>42558</v>
      </c>
      <c r="E9" s="9">
        <v>196</v>
      </c>
      <c r="F9" s="10" t="str">
        <f>IF(E9&gt;150,"BAJA",IF(E9&lt;200,"NORMAL","ALTA"))</f>
        <v>BAJA</v>
      </c>
      <c r="G9" s="10">
        <f>IF(AND(E9&lt;180,D9&gt;DATE(2016,7,15)),805,812)</f>
        <v>812</v>
      </c>
      <c r="H9" s="11">
        <f>D9+ROUNDUP(E9/10,0)</f>
        <v>42578</v>
      </c>
      <c r="I9" s="12">
        <f>VLOOKUP(C9,Departamentos!$C$3:$D$7,2,0)*E9</f>
        <v>43120</v>
      </c>
    </row>
    <row r="10" spans="1:9">
      <c r="A10" s="8">
        <v>1150</v>
      </c>
      <c r="B10" s="9" t="str">
        <f>VLOOKUP(A10,Materias!$B$3:$D$15,2,0)</f>
        <v>Computación I</v>
      </c>
      <c r="C10" s="10" t="str">
        <f>VLOOKUP(VLOOKUP(A10,Materias!$B$2:$D$15,3,0),Departamentos!$B$3:$D$7,2,0)</f>
        <v>Económicas</v>
      </c>
      <c r="D10" s="11">
        <v>42562</v>
      </c>
      <c r="E10" s="9">
        <v>175</v>
      </c>
      <c r="F10" s="10" t="str">
        <f>IF(E10&gt;150,"BAJA",IF(E10&lt;200,"NORMAL","ALTA"))</f>
        <v>BAJA</v>
      </c>
      <c r="G10" s="10">
        <f>IF(AND(E10&lt;180,D10&gt;DATE(2016,7,15)),805,812)</f>
        <v>812</v>
      </c>
      <c r="H10" s="11">
        <f>D10+ROUNDUP(E10/10,0)</f>
        <v>42580</v>
      </c>
      <c r="I10" s="12">
        <f>VLOOKUP(C10,Departamentos!$C$3:$D$7,2,0)*E10</f>
        <v>43750</v>
      </c>
    </row>
    <row r="11" spans="1:9">
      <c r="A11" s="8">
        <v>1200</v>
      </c>
      <c r="B11" s="9" t="str">
        <f>VLOOKUP(A11,Materias!$B$3:$D$15,2,0)</f>
        <v xml:space="preserve">Estadística </v>
      </c>
      <c r="C11" s="10" t="str">
        <f>VLOOKUP(VLOOKUP(A11,Materias!$B$2:$D$15,3,0),Departamentos!$B$3:$D$7,2,0)</f>
        <v>Económicas</v>
      </c>
      <c r="D11" s="11">
        <v>42571</v>
      </c>
      <c r="E11" s="9">
        <v>158</v>
      </c>
      <c r="F11" s="10" t="str">
        <f>IF(E11&gt;150,"BAJA",IF(E11&lt;200,"NORMAL","ALTA"))</f>
        <v>BAJA</v>
      </c>
      <c r="G11" s="10">
        <f>IF(AND(E11&lt;180,D11&gt;DATE(2016,7,15)),805,812)</f>
        <v>805</v>
      </c>
      <c r="H11" s="11">
        <f>D11+ROUNDUP(E11/10,0)</f>
        <v>42587</v>
      </c>
      <c r="I11" s="12">
        <f>VLOOKUP(C11,Departamentos!$C$3:$D$7,2,0)*E11</f>
        <v>39500</v>
      </c>
    </row>
    <row r="12" spans="1:9">
      <c r="A12" s="8">
        <v>1120</v>
      </c>
      <c r="B12" s="9" t="str">
        <f>VLOOKUP(A12,Materias!$B$3:$D$15,2,0)</f>
        <v>Análisis Matemático</v>
      </c>
      <c r="C12" s="10" t="str">
        <f>VLOOKUP(VLOOKUP(A12,Materias!$B$2:$D$15,3,0),Departamentos!$B$3:$D$7,2,0)</f>
        <v>Ingeniería</v>
      </c>
      <c r="D12" s="11">
        <v>42566</v>
      </c>
      <c r="E12" s="9">
        <v>232</v>
      </c>
      <c r="F12" s="10" t="str">
        <f>IF(E12&gt;150,"BAJA",IF(E12&lt;200,"NORMAL","ALTA"))</f>
        <v>BAJA</v>
      </c>
      <c r="G12" s="10">
        <f>IF(AND(E12&lt;180,D12&gt;DATE(2016,7,15)),805,812)</f>
        <v>812</v>
      </c>
      <c r="H12" s="11">
        <f>D12+ROUNDUP(E12/10,0)</f>
        <v>42590</v>
      </c>
      <c r="I12" s="12">
        <f>VLOOKUP(C12,Departamentos!$C$3:$D$7,2,0)*E12</f>
        <v>41760</v>
      </c>
    </row>
    <row r="13" spans="1:9">
      <c r="A13" s="8">
        <v>1080</v>
      </c>
      <c r="B13" s="9" t="str">
        <f>VLOOKUP(A13,Materias!$B$3:$D$15,2,0)</f>
        <v>Sistemas operativos</v>
      </c>
      <c r="C13" s="10" t="str">
        <f>VLOOKUP(VLOOKUP(A13,Materias!$B$2:$D$15,3,0),Departamentos!$B$3:$D$7,2,0)</f>
        <v>Ingeniería</v>
      </c>
      <c r="D13" s="11">
        <v>42574</v>
      </c>
      <c r="E13" s="9">
        <v>141</v>
      </c>
      <c r="F13" s="10" t="str">
        <f>IF(E13&gt;150,"BAJA",IF(E13&lt;200,"NORMAL","ALTA"))</f>
        <v>NORMAL</v>
      </c>
      <c r="G13" s="10">
        <f>IF(AND(E13&lt;180,D13&gt;DATE(2016,7,15)),805,812)</f>
        <v>805</v>
      </c>
      <c r="H13" s="11">
        <f>D13+ROUNDUP(E13/10,0)</f>
        <v>42589</v>
      </c>
      <c r="I13" s="12">
        <f>VLOOKUP(C13,Departamentos!$C$3:$D$7,2,0)*E13</f>
        <v>25380</v>
      </c>
    </row>
    <row r="14" spans="1:9">
      <c r="A14" s="8">
        <v>1860</v>
      </c>
      <c r="B14" s="9" t="str">
        <f>VLOOKUP(A14,Materias!$B$3:$D$15,2,0)</f>
        <v>Enfermería</v>
      </c>
      <c r="C14" s="10" t="str">
        <f>VLOOKUP(VLOOKUP(A14,Materias!$B$2:$D$15,3,0),Departamentos!$B$3:$D$7,2,0)</f>
        <v>Medicina</v>
      </c>
      <c r="D14" s="11">
        <v>42575</v>
      </c>
      <c r="E14" s="9">
        <v>171</v>
      </c>
      <c r="F14" s="10" t="str">
        <f>IF(E14&gt;150,"BAJA",IF(E14&lt;200,"NORMAL","ALTA"))</f>
        <v>BAJA</v>
      </c>
      <c r="G14" s="10">
        <f>IF(AND(E14&lt;180,D14&gt;DATE(2016,7,15)),805,812)</f>
        <v>805</v>
      </c>
      <c r="H14" s="11">
        <f>D14+ROUNDUP(E14/10,0)</f>
        <v>42593</v>
      </c>
      <c r="I14" s="12">
        <f>VLOOKUP(C14,Departamentos!$C$3:$D$7,2,0)*E14</f>
        <v>51300</v>
      </c>
    </row>
    <row r="15" spans="1:9">
      <c r="A15" s="8">
        <v>1850</v>
      </c>
      <c r="B15" s="9" t="str">
        <f>VLOOKUP(A15,Materias!$B$3:$D$15,2,0)</f>
        <v>Biología I</v>
      </c>
      <c r="C15" s="10" t="str">
        <f>VLOOKUP(VLOOKUP(A15,Materias!$B$2:$D$15,3,0),Departamentos!$B$3:$D$7,2,0)</f>
        <v>Medicina</v>
      </c>
      <c r="D15" s="11">
        <v>42574</v>
      </c>
      <c r="E15" s="9">
        <v>170</v>
      </c>
      <c r="F15" s="10" t="str">
        <f>IF(E15&gt;150,"BAJA",IF(E15&lt;200,"NORMAL","ALTA"))</f>
        <v>BAJA</v>
      </c>
      <c r="G15" s="10">
        <f>IF(AND(E15&lt;180,D15&gt;DATE(2016,7,15)),805,812)</f>
        <v>805</v>
      </c>
      <c r="H15" s="11">
        <f>D15+ROUNDUP(E15/10,0)</f>
        <v>42591</v>
      </c>
      <c r="I15" s="12">
        <f>VLOOKUP(C15,Departamentos!$C$3:$D$7,2,0)*E15</f>
        <v>51000</v>
      </c>
    </row>
    <row r="16" spans="1:9">
      <c r="A16" s="13">
        <v>1825</v>
      </c>
      <c r="B16" s="14" t="str">
        <f>VLOOKUP(A16,Materias!$B$3:$D$15,2,0)</f>
        <v>Anatomía I</v>
      </c>
      <c r="C16" s="15" t="str">
        <f>VLOOKUP(VLOOKUP(A16,Materias!$B$2:$D$15,3,0),Departamentos!$B$3:$D$7,2,0)</f>
        <v>Medicina</v>
      </c>
      <c r="D16" s="16">
        <v>42573</v>
      </c>
      <c r="E16" s="14">
        <v>169</v>
      </c>
      <c r="F16" s="15" t="str">
        <f>IF(E16&gt;150,"BAJA",IF(E16&lt;200,"NORMAL","ALTA"))</f>
        <v>BAJA</v>
      </c>
      <c r="G16" s="15">
        <f>IF(AND(E16&lt;180,D16&gt;DATE(2016,7,15)),805,812)</f>
        <v>805</v>
      </c>
      <c r="H16" s="16">
        <f>D16+ROUNDUP(E16/10,0)</f>
        <v>42590</v>
      </c>
      <c r="I16" s="17">
        <f>VLOOKUP(C16,Departamentos!$C$3:$D$7,2,0)*E16</f>
        <v>50700</v>
      </c>
    </row>
    <row r="17" spans="7:7">
      <c r="G17" s="3"/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6C7B-0DF7-4F14-9EE5-FC9BDFFD0537}">
  <sheetPr>
    <tabColor rgb="FFFFFF00"/>
  </sheetPr>
  <dimension ref="B3:D15"/>
  <sheetViews>
    <sheetView workbookViewId="0">
      <selection activeCell="B16" sqref="B16"/>
    </sheetView>
  </sheetViews>
  <sheetFormatPr defaultRowHeight="15"/>
  <cols>
    <col min="2" max="2" width="16.85546875" bestFit="1" customWidth="1"/>
    <col min="3" max="3" width="18.42578125" bestFit="1" customWidth="1"/>
    <col min="4" max="4" width="22.5703125" bestFit="1" customWidth="1"/>
  </cols>
  <sheetData>
    <row r="3" spans="2:4" s="2" customFormat="1">
      <c r="B3" s="2" t="s">
        <v>2</v>
      </c>
      <c r="C3" s="2" t="s">
        <v>3</v>
      </c>
      <c r="D3" s="2" t="s">
        <v>4</v>
      </c>
    </row>
    <row r="4" spans="2:4">
      <c r="B4">
        <v>1010</v>
      </c>
      <c r="C4" t="s">
        <v>5</v>
      </c>
      <c r="D4" t="s">
        <v>6</v>
      </c>
    </row>
    <row r="5" spans="2:4">
      <c r="B5">
        <v>1280</v>
      </c>
      <c r="C5" t="s">
        <v>7</v>
      </c>
      <c r="D5" t="s">
        <v>6</v>
      </c>
    </row>
    <row r="6" spans="2:4">
      <c r="B6">
        <v>1420</v>
      </c>
      <c r="C6" t="s">
        <v>8</v>
      </c>
      <c r="D6" t="s">
        <v>6</v>
      </c>
    </row>
    <row r="7" spans="2:4">
      <c r="B7">
        <v>1080</v>
      </c>
      <c r="C7" t="s">
        <v>9</v>
      </c>
      <c r="D7" t="s">
        <v>10</v>
      </c>
    </row>
    <row r="8" spans="2:4">
      <c r="B8">
        <v>1120</v>
      </c>
      <c r="C8" t="s">
        <v>11</v>
      </c>
      <c r="D8" t="s">
        <v>10</v>
      </c>
    </row>
    <row r="9" spans="2:4">
      <c r="B9">
        <v>1150</v>
      </c>
      <c r="C9" t="s">
        <v>12</v>
      </c>
      <c r="D9" t="s">
        <v>13</v>
      </c>
    </row>
    <row r="10" spans="2:4">
      <c r="B10">
        <v>1200</v>
      </c>
      <c r="C10" t="s">
        <v>14</v>
      </c>
      <c r="D10" t="s">
        <v>13</v>
      </c>
    </row>
    <row r="11" spans="2:4">
      <c r="B11">
        <v>1250</v>
      </c>
      <c r="C11" t="s">
        <v>15</v>
      </c>
      <c r="D11" t="s">
        <v>16</v>
      </c>
    </row>
    <row r="12" spans="2:4">
      <c r="B12">
        <v>1300</v>
      </c>
      <c r="C12" t="s">
        <v>17</v>
      </c>
      <c r="D12" t="s">
        <v>16</v>
      </c>
    </row>
    <row r="13" spans="2:4">
      <c r="B13">
        <v>1825</v>
      </c>
      <c r="C13" t="s">
        <v>18</v>
      </c>
      <c r="D13" t="s">
        <v>19</v>
      </c>
    </row>
    <row r="14" spans="2:4">
      <c r="B14">
        <v>1850</v>
      </c>
      <c r="C14" t="s">
        <v>20</v>
      </c>
      <c r="D14" t="s">
        <v>19</v>
      </c>
    </row>
    <row r="15" spans="2:4">
      <c r="B15">
        <v>1860</v>
      </c>
      <c r="C15" t="s">
        <v>21</v>
      </c>
      <c r="D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BDAA-E355-4E07-BD8A-31B329192A55}">
  <sheetPr>
    <tabColor rgb="FF00B050"/>
  </sheetPr>
  <dimension ref="B3:D7"/>
  <sheetViews>
    <sheetView workbookViewId="0">
      <selection activeCell="D11" sqref="D11"/>
    </sheetView>
  </sheetViews>
  <sheetFormatPr defaultRowHeight="15"/>
  <cols>
    <col min="2" max="2" width="22.85546875" bestFit="1" customWidth="1"/>
    <col min="3" max="3" width="13.5703125" bestFit="1" customWidth="1"/>
  </cols>
  <sheetData>
    <row r="3" spans="2:4" s="2" customFormat="1">
      <c r="B3" s="2" t="s">
        <v>22</v>
      </c>
      <c r="C3" s="2" t="s">
        <v>23</v>
      </c>
      <c r="D3" s="2" t="s">
        <v>24</v>
      </c>
    </row>
    <row r="4" spans="2:4">
      <c r="B4" t="s">
        <v>6</v>
      </c>
      <c r="C4" t="s">
        <v>25</v>
      </c>
      <c r="D4">
        <v>220</v>
      </c>
    </row>
    <row r="5" spans="2:4">
      <c r="B5" t="s">
        <v>10</v>
      </c>
      <c r="C5" t="s">
        <v>26</v>
      </c>
      <c r="D5">
        <v>180</v>
      </c>
    </row>
    <row r="6" spans="2:4">
      <c r="B6" t="s">
        <v>13</v>
      </c>
      <c r="C6" t="s">
        <v>27</v>
      </c>
      <c r="D6">
        <v>250</v>
      </c>
    </row>
    <row r="7" spans="2:4">
      <c r="B7" t="s">
        <v>19</v>
      </c>
      <c r="C7" t="s">
        <v>28</v>
      </c>
      <c r="D7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FD17-EFCB-4977-95B6-E905060EAE60}">
  <sheetPr>
    <tabColor theme="5" tint="0.39997558519241921"/>
  </sheetPr>
  <dimension ref="A1:B3"/>
  <sheetViews>
    <sheetView workbookViewId="0"/>
  </sheetViews>
  <sheetFormatPr defaultRowHeight="15"/>
  <cols>
    <col min="1" max="1" width="32.85546875" customWidth="1"/>
  </cols>
  <sheetData>
    <row r="1" spans="1:2" ht="15.75">
      <c r="A1" s="19" t="s">
        <v>29</v>
      </c>
      <c r="B1" s="2"/>
    </row>
    <row r="2" spans="1:2" ht="15.75">
      <c r="A2" s="20">
        <v>44239429</v>
      </c>
      <c r="B2" s="2"/>
    </row>
    <row r="3" spans="1:2">
      <c r="A3" s="18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2026-02-15T21:03:36Z</dcterms:created>
  <dcterms:modified xsi:type="dcterms:W3CDTF">2026-02-16T19:20:12Z</dcterms:modified>
  <cp:category/>
  <cp:contentStatus/>
</cp:coreProperties>
</file>