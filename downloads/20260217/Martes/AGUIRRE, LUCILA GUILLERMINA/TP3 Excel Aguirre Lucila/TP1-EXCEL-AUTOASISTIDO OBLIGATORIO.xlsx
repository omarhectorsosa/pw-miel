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634FF350-5DC6-4C01-80EC-E4959C190C0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" sheetId="1" r:id="rId1"/>
    <sheet name="Materias" sheetId="2" r:id="rId2"/>
    <sheet name="Departam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5" i="1"/>
  <c r="H13" i="1"/>
  <c r="H8" i="1"/>
  <c r="H7" i="1"/>
  <c r="H6" i="1"/>
  <c r="H16" i="1"/>
  <c r="H15" i="1"/>
  <c r="H14" i="1"/>
  <c r="H12" i="1"/>
  <c r="G11" i="1"/>
  <c r="G10" i="1"/>
  <c r="G9" i="1"/>
  <c r="G5" i="1"/>
  <c r="G13" i="1"/>
  <c r="G8" i="1"/>
  <c r="G7" i="1"/>
  <c r="G6" i="1"/>
  <c r="G16" i="1"/>
  <c r="G15" i="1"/>
  <c r="G14" i="1"/>
  <c r="G12" i="1"/>
  <c r="F11" i="1"/>
  <c r="F10" i="1"/>
  <c r="F9" i="1"/>
  <c r="F5" i="1"/>
  <c r="F13" i="1"/>
  <c r="F8" i="1"/>
  <c r="F7" i="1"/>
  <c r="F6" i="1"/>
  <c r="F16" i="1"/>
  <c r="F15" i="1"/>
  <c r="F14" i="1"/>
  <c r="F12" i="1"/>
  <c r="C11" i="1"/>
  <c r="I11" i="1" s="1"/>
  <c r="C10" i="1"/>
  <c r="I10" i="1" s="1"/>
  <c r="C9" i="1"/>
  <c r="I9" i="1" s="1"/>
  <c r="C5" i="1"/>
  <c r="I5" i="1" s="1"/>
  <c r="C13" i="1"/>
  <c r="I13" i="1" s="1"/>
  <c r="C8" i="1"/>
  <c r="I8" i="1" s="1"/>
  <c r="C7" i="1"/>
  <c r="I7" i="1" s="1"/>
  <c r="C6" i="1"/>
  <c r="I6" i="1" s="1"/>
  <c r="C16" i="1"/>
  <c r="I16" i="1" s="1"/>
  <c r="C15" i="1"/>
  <c r="I15" i="1" s="1"/>
  <c r="C14" i="1"/>
  <c r="I14" i="1" s="1"/>
  <c r="C12" i="1"/>
  <c r="I12" i="1" s="1"/>
  <c r="B11" i="1"/>
  <c r="B10" i="1"/>
  <c r="B9" i="1"/>
  <c r="B5" i="1"/>
  <c r="B13" i="1"/>
  <c r="B8" i="1"/>
  <c r="B7" i="1"/>
  <c r="B6" i="1"/>
  <c r="B16" i="1"/>
  <c r="B15" i="1"/>
  <c r="B14" i="1"/>
  <c r="B12" i="1"/>
</calcChain>
</file>

<file path=xl/sharedStrings.xml><?xml version="1.0" encoding="utf-8"?>
<sst xmlns="http://schemas.openxmlformats.org/spreadsheetml/2006/main" count="48" uniqueCount="32">
  <si>
    <t>EXAMENES FINALES</t>
  </si>
  <si>
    <t>Codigo de materia</t>
  </si>
  <si>
    <t>Materia</t>
  </si>
  <si>
    <t>Departamento</t>
  </si>
  <si>
    <t>Fecha de examen</t>
  </si>
  <si>
    <t>Cantidad de inscriptos</t>
  </si>
  <si>
    <t>Condicion</t>
  </si>
  <si>
    <t>Aula designada</t>
  </si>
  <si>
    <t>Publicacion de notas</t>
  </si>
  <si>
    <t>Importe de inscripciones</t>
  </si>
  <si>
    <t>Codigo de departamento</t>
  </si>
  <si>
    <t>Derecho Publico</t>
  </si>
  <si>
    <t>A</t>
  </si>
  <si>
    <t>Derecho penal</t>
  </si>
  <si>
    <t>Derecho civil</t>
  </si>
  <si>
    <t>Sistemas operativos I</t>
  </si>
  <si>
    <t>B</t>
  </si>
  <si>
    <t>Analisis matematico</t>
  </si>
  <si>
    <t>Computacion I</t>
  </si>
  <si>
    <t>C</t>
  </si>
  <si>
    <t>Estadistica</t>
  </si>
  <si>
    <t>Computacion II</t>
  </si>
  <si>
    <t>Ingles I</t>
  </si>
  <si>
    <t>Anatomia I</t>
  </si>
  <si>
    <t>D</t>
  </si>
  <si>
    <t>Biologia I</t>
  </si>
  <si>
    <t>Enfermeria</t>
  </si>
  <si>
    <t>Arancel</t>
  </si>
  <si>
    <t xml:space="preserve">Derecho </t>
  </si>
  <si>
    <t>Ingenieria</t>
  </si>
  <si>
    <t>Economicas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</si>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</sst>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4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14" fontId="0" fillId="3" borderId="0" xfId="0" applyNumberFormat="1" applyFill="1"/>
    <xf numFmtId="14" fontId="0" fillId="3" borderId="0" xfId="0" applyNumberFormat="1" applyFill="1" applyAlignment="1">
      <alignment wrapText="1"/>
    </xf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4" borderId="0" xfId="1" applyBorder="1" applyAlignment="1">
      <alignment horizontal="center" vertical="top"/>
    </xf>
  </cellXfs>
  <cellStyles count="2">
    <cellStyle name="60% - Énfasis2" xfId="1" builtinId="3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6"/>
  <sheetViews>
    <sheetView tabSelected="1" workbookViewId="0">
      <selection activeCell="A2" sqref="A2:I2"/>
    </sheetView>
  </sheetViews>
  <sheetFormatPr defaultRowHeight="15"/>
  <cols>
    <col min="1" max="1" width="18.140625" bestFit="1" customWidth="1"/>
    <col min="2" max="3" width="36.5703125" bestFit="1" customWidth="1"/>
    <col min="4" max="4" width="16" bestFit="1" customWidth="1"/>
    <col min="5" max="5" width="20.140625" bestFit="1" customWidth="1"/>
    <col min="6" max="6" width="9.5703125" bestFit="1" customWidth="1"/>
    <col min="7" max="7" width="14" bestFit="1" customWidth="1"/>
    <col min="8" max="8" width="18.7109375" bestFit="1" customWidth="1"/>
    <col min="9" max="9" width="22.28515625" bestFit="1" customWidth="1"/>
  </cols>
  <sheetData>
    <row r="2" spans="1:9">
      <c r="A2" s="8" t="s">
        <v>0</v>
      </c>
      <c r="B2" s="8"/>
      <c r="C2" s="8"/>
      <c r="D2" s="8"/>
      <c r="E2" s="8"/>
      <c r="F2" s="8"/>
      <c r="G2" s="8"/>
      <c r="H2" s="8"/>
      <c r="I2" s="8"/>
    </row>
    <row r="4" spans="1:9" s="7" customFormat="1" ht="30.75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</row>
    <row r="5" spans="1:9" s="1" customFormat="1">
      <c r="A5" s="2">
        <v>1010</v>
      </c>
      <c r="B5" s="3" t="str">
        <f>VLOOKUP(A5,Materias!$A$4:$C$16,2,0)</f>
        <v>Derecho Publico</v>
      </c>
      <c r="C5" s="3" t="str">
        <f>VLOOKUP(VLOOKUP(A5,Materias!$A$4:$C$16,3,0),Departamentos!$A$4:$C$16,2,0)</f>
        <v xml:space="preserve">Derecho </v>
      </c>
      <c r="D5" s="4">
        <v>42569</v>
      </c>
      <c r="E5" s="2">
        <v>202</v>
      </c>
      <c r="F5" s="3" t="str">
        <f>IF(E5&lt;150,"BAJA",IF(E5&lt;200,"NORMAL","ALTA"))</f>
        <v>ALTA</v>
      </c>
      <c r="G5" s="3" t="b">
        <f>AND(E5&lt;180,D5&gt;DATE(2016,7,15))</f>
        <v>0</v>
      </c>
      <c r="H5" s="5">
        <f>D5+ROUNDUP(E5/10,0)</f>
        <v>42590</v>
      </c>
      <c r="I5" s="3">
        <f>VLOOKUP(C5,Departamentos!$B$3:$C$7,2,0)*E5</f>
        <v>44440</v>
      </c>
    </row>
    <row r="6" spans="1:9">
      <c r="A6" s="2">
        <v>1280</v>
      </c>
      <c r="B6" s="3" t="str">
        <f>VLOOKUP(A6,Materias!$A$4:$C$16,2,0)</f>
        <v>Derecho penal</v>
      </c>
      <c r="C6" s="3" t="str">
        <f>VLOOKUP(VLOOKUP(A6,Materias!$A$4:$C$16,3,0),Departamentos!$A$4:$C$16,2,0)</f>
        <v xml:space="preserve">Derecho </v>
      </c>
      <c r="D6" s="4">
        <v>42572</v>
      </c>
      <c r="E6" s="2">
        <v>168</v>
      </c>
      <c r="F6" s="3" t="str">
        <f>IF(E6&lt;150,"BAJA",IF(E6&lt;200,"NORMAL","ALTA"))</f>
        <v>NORMAL</v>
      </c>
      <c r="G6" s="3" t="b">
        <f>AND(E6&lt;180,D6&gt;DATE(2016,7,15))</f>
        <v>1</v>
      </c>
      <c r="H6" s="5">
        <f>D6+ROUNDUP(E6/10,0)</f>
        <v>42589</v>
      </c>
      <c r="I6" s="3">
        <f>VLOOKUP(C6,Departamentos!$B$3:$C$7,2,0)*E6</f>
        <v>36960</v>
      </c>
    </row>
    <row r="7" spans="1:9">
      <c r="A7" s="2">
        <v>1420</v>
      </c>
      <c r="B7" s="3" t="str">
        <f>VLOOKUP(A7,Materias!$A$4:$C$16,2,0)</f>
        <v>Derecho civil</v>
      </c>
      <c r="C7" s="3" t="str">
        <f>VLOOKUP(VLOOKUP(A7,Materias!$A$4:$C$16,3,0),Departamentos!$A$4:$C$16,2,0)</f>
        <v xml:space="preserve">Derecho </v>
      </c>
      <c r="D7" s="4">
        <v>42564</v>
      </c>
      <c r="E7" s="2">
        <v>136</v>
      </c>
      <c r="F7" s="3" t="str">
        <f>IF(E7&lt;150,"BAJA",IF(E7&lt;200,"NORMAL","ALTA"))</f>
        <v>BAJA</v>
      </c>
      <c r="G7" s="3" t="b">
        <f>AND(E7&lt;180,D7&gt;DATE(2016,7,15))</f>
        <v>0</v>
      </c>
      <c r="H7" s="5">
        <f>D7+ROUNDUP(E7/10,0)</f>
        <v>42578</v>
      </c>
      <c r="I7" s="3">
        <f>VLOOKUP(C7,Departamentos!$B$3:$C$7,2,0)*E7</f>
        <v>29920</v>
      </c>
    </row>
    <row r="8" spans="1:9">
      <c r="A8" s="2">
        <v>1300</v>
      </c>
      <c r="B8" s="3" t="str">
        <f>VLOOKUP(A8,Materias!$A$4:$C$16,2,0)</f>
        <v>Ingles I</v>
      </c>
      <c r="C8" s="3" t="str">
        <f>VLOOKUP(VLOOKUP(A8,Materias!$A$4:$C$16,3,0),Departamentos!$A$4:$C$16,2,0)</f>
        <v>Economicas</v>
      </c>
      <c r="D8" s="4">
        <v>42578</v>
      </c>
      <c r="E8" s="2">
        <v>215</v>
      </c>
      <c r="F8" s="3" t="str">
        <f>IF(E8&lt;150,"BAJA",IF(E8&lt;200,"NORMAL","ALTA"))</f>
        <v>ALTA</v>
      </c>
      <c r="G8" s="3" t="b">
        <f>AND(E8&lt;180,D8&gt;DATE(2016,7,15))</f>
        <v>0</v>
      </c>
      <c r="H8" s="5">
        <f>D8+ROUNDUP(E8/10,0)</f>
        <v>42600</v>
      </c>
      <c r="I8" s="3">
        <f>VLOOKUP(C8,Departamentos!$B$3:$C$7,2,0)*E8</f>
        <v>53750</v>
      </c>
    </row>
    <row r="9" spans="1:9">
      <c r="A9" s="2">
        <v>1250</v>
      </c>
      <c r="B9" s="3" t="str">
        <f>VLOOKUP(A9,Materias!$A$4:$C$16,2,0)</f>
        <v>Computacion II</v>
      </c>
      <c r="C9" s="3" t="str">
        <f>VLOOKUP(VLOOKUP(A9,Materias!$A$4:$C$16,3,0),Departamentos!$A$4:$C$16,2,0)</f>
        <v>Economicas</v>
      </c>
      <c r="D9" s="4">
        <v>42558</v>
      </c>
      <c r="E9" s="2">
        <v>196</v>
      </c>
      <c r="F9" s="3" t="str">
        <f>IF(E9&lt;150,"BAJA",IF(E9&lt;200,"NORMAL","ALTA"))</f>
        <v>NORMAL</v>
      </c>
      <c r="G9" s="3" t="b">
        <f>AND(E9&lt;180,D9&gt;DATE(2016,7,15))</f>
        <v>0</v>
      </c>
      <c r="H9" s="5">
        <f>D9+ROUNDUP(E9/10,0)</f>
        <v>42578</v>
      </c>
      <c r="I9" s="3">
        <f>VLOOKUP(C9,Departamentos!$B$3:$C$7,2,0)*E9</f>
        <v>49000</v>
      </c>
    </row>
    <row r="10" spans="1:9">
      <c r="A10" s="2">
        <v>1150</v>
      </c>
      <c r="B10" s="3" t="str">
        <f>VLOOKUP(A10,Materias!$A$4:$C$16,2,0)</f>
        <v>Computacion I</v>
      </c>
      <c r="C10" s="3" t="str">
        <f>VLOOKUP(VLOOKUP(A10,Materias!$A$4:$C$16,3,0),Departamentos!$A$4:$C$16,2,0)</f>
        <v>Economicas</v>
      </c>
      <c r="D10" s="4">
        <v>42562</v>
      </c>
      <c r="E10" s="2">
        <v>175</v>
      </c>
      <c r="F10" s="3" t="str">
        <f>IF(E10&lt;150,"BAJA",IF(E10&lt;200,"NORMAL","ALTA"))</f>
        <v>NORMAL</v>
      </c>
      <c r="G10" s="3" t="b">
        <f>AND(E10&lt;180,D10&gt;DATE(2016,7,15))</f>
        <v>0</v>
      </c>
      <c r="H10" s="5">
        <f>D10+ROUNDUP(E10/10,0)</f>
        <v>42580</v>
      </c>
      <c r="I10" s="3">
        <f>VLOOKUP(C10,Departamentos!$B$3:$C$7,2,0)*E10</f>
        <v>43750</v>
      </c>
    </row>
    <row r="11" spans="1:9">
      <c r="A11" s="2">
        <v>1200</v>
      </c>
      <c r="B11" s="3" t="str">
        <f>VLOOKUP(A11,Materias!$A$4:$C$16,2,0)</f>
        <v>Estadistica</v>
      </c>
      <c r="C11" s="3" t="str">
        <f>VLOOKUP(VLOOKUP(A11,Materias!$A$4:$C$16,3,0),Departamentos!$A$4:$C$16,2,0)</f>
        <v>Economicas</v>
      </c>
      <c r="D11" s="4">
        <v>42571</v>
      </c>
      <c r="E11" s="2">
        <v>158</v>
      </c>
      <c r="F11" s="3" t="str">
        <f>IF(E11&lt;150,"BAJA",IF(E11&lt;200,"NORMAL","ALTA"))</f>
        <v>NORMAL</v>
      </c>
      <c r="G11" s="3" t="b">
        <f>AND(E11&lt;180,D11&gt;DATE(2016,7,15))</f>
        <v>1</v>
      </c>
      <c r="H11" s="5">
        <f>D11+ROUNDUP(E11/10,0)</f>
        <v>42587</v>
      </c>
      <c r="I11" s="3">
        <f>VLOOKUP(C11,Departamentos!$B$3:$C$7,2,0)*E11</f>
        <v>39500</v>
      </c>
    </row>
    <row r="12" spans="1:9">
      <c r="A12" s="3">
        <v>1120</v>
      </c>
      <c r="B12" s="3" t="str">
        <f>VLOOKUP(A12,Materias!$A$4:$C$16,2,0)</f>
        <v>Analisis matematico</v>
      </c>
      <c r="C12" s="3" t="str">
        <f>VLOOKUP(VLOOKUP(A12,Materias!$A$4:$C$16,3,0),Departamentos!$A$4:$C$16,2,0)</f>
        <v>Ingenieria</v>
      </c>
      <c r="D12" s="5">
        <v>42566</v>
      </c>
      <c r="E12" s="3">
        <v>232</v>
      </c>
      <c r="F12" s="3" t="str">
        <f>IF(E12&lt;150,"BAJA",IF(E12&lt;200,"NORMAL","ALTA"))</f>
        <v>ALTA</v>
      </c>
      <c r="G12" s="3" t="b">
        <f>AND(E12&lt;180,D12&gt;DATE(2016,7,15))</f>
        <v>0</v>
      </c>
      <c r="H12" s="5">
        <f>D12+ROUNDUP(E12/10,0)</f>
        <v>42590</v>
      </c>
      <c r="I12" s="3">
        <f>VLOOKUP(C12,Departamentos!$B$3:$C$7,2,0)*E12</f>
        <v>41760</v>
      </c>
    </row>
    <row r="13" spans="1:9">
      <c r="A13" s="2">
        <v>1080</v>
      </c>
      <c r="B13" s="3" t="str">
        <f>VLOOKUP(A13,Materias!$A$4:$C$16,2,0)</f>
        <v>Sistemas operativos I</v>
      </c>
      <c r="C13" s="3" t="str">
        <f>VLOOKUP(VLOOKUP(A13,Materias!$A$4:$C$16,3,0),Departamentos!$A$4:$C$16,2,0)</f>
        <v>Ingenieria</v>
      </c>
      <c r="D13" s="4">
        <v>42574</v>
      </c>
      <c r="E13" s="2">
        <v>141</v>
      </c>
      <c r="F13" s="3" t="str">
        <f>IF(E13&lt;150,"BAJA",IF(E13&lt;200,"NORMAL","ALTA"))</f>
        <v>BAJA</v>
      </c>
      <c r="G13" s="3" t="b">
        <f>AND(E13&lt;180,D13&gt;DATE(2016,7,15))</f>
        <v>1</v>
      </c>
      <c r="H13" s="5">
        <f>D13+ROUNDUP(E13/10,0)</f>
        <v>42589</v>
      </c>
      <c r="I13" s="3">
        <f>VLOOKUP(C13,Departamentos!$B$3:$C$7,2,0)*E13</f>
        <v>25380</v>
      </c>
    </row>
    <row r="14" spans="1:9">
      <c r="A14" s="2">
        <v>1860</v>
      </c>
      <c r="B14" s="3" t="str">
        <f>VLOOKUP(A14,Materias!$A$4:$C$16,2,0)</f>
        <v>Enfermeria</v>
      </c>
      <c r="C14" s="3" t="str">
        <f>VLOOKUP(VLOOKUP(A14,Materias!$A$4:$C$16,3,0),Departamentos!$A$4:$C$16,2,0)</f>
        <v>Medicina</v>
      </c>
      <c r="D14" s="4">
        <v>42575</v>
      </c>
      <c r="E14" s="2">
        <v>171</v>
      </c>
      <c r="F14" s="3" t="str">
        <f>IF(E14&lt;150,"BAJA",IF(E14&lt;200,"NORMAL","ALTA"))</f>
        <v>NORMAL</v>
      </c>
      <c r="G14" s="3" t="b">
        <f>AND(E14&lt;180,D14&gt;DATE(2016,7,15))</f>
        <v>1</v>
      </c>
      <c r="H14" s="5">
        <f>D14+ROUNDUP(E14/10,0)</f>
        <v>42593</v>
      </c>
      <c r="I14" s="3">
        <f>VLOOKUP(C14,Departamentos!$B$3:$C$7,2,0)*E14</f>
        <v>51300</v>
      </c>
    </row>
    <row r="15" spans="1:9">
      <c r="A15" s="2">
        <v>1850</v>
      </c>
      <c r="B15" s="3" t="str">
        <f>VLOOKUP(A15,Materias!$A$4:$C$16,2,0)</f>
        <v>Biologia I</v>
      </c>
      <c r="C15" s="3" t="str">
        <f>VLOOKUP(VLOOKUP(A15,Materias!$A$4:$C$16,3,0),Departamentos!$A$4:$C$16,2,0)</f>
        <v>Medicina</v>
      </c>
      <c r="D15" s="4">
        <v>45130</v>
      </c>
      <c r="E15" s="2">
        <v>170</v>
      </c>
      <c r="F15" s="3" t="str">
        <f>IF(E15&lt;150,"BAJA",IF(E15&lt;200,"NORMAL","ALTA"))</f>
        <v>NORMAL</v>
      </c>
      <c r="G15" s="3" t="b">
        <f>AND(E15&lt;180,D15&gt;DATE(2016,7,15))</f>
        <v>1</v>
      </c>
      <c r="H15" s="5">
        <f>D15+ROUNDUP(E15/10,0)</f>
        <v>45147</v>
      </c>
      <c r="I15" s="3">
        <f>VLOOKUP(C15,Departamentos!$B$3:$C$7,2,0)*E15</f>
        <v>51000</v>
      </c>
    </row>
    <row r="16" spans="1:9">
      <c r="A16" s="2">
        <v>1825</v>
      </c>
      <c r="B16" s="3" t="str">
        <f>VLOOKUP(A16,Materias!$A$4:$C$16,2,0)</f>
        <v>Anatomia I</v>
      </c>
      <c r="C16" s="3" t="str">
        <f>VLOOKUP(VLOOKUP(A16,Materias!$A$4:$C$16,3,0),Departamentos!$A$4:$C$16,2,0)</f>
        <v>Medicina</v>
      </c>
      <c r="D16" s="4">
        <v>42573</v>
      </c>
      <c r="E16" s="2">
        <v>169</v>
      </c>
      <c r="F16" s="3" t="str">
        <f>IF(E16&lt;150,"BAJA",IF(E16&lt;200,"NORMAL","ALTA"))</f>
        <v>NORMAL</v>
      </c>
      <c r="G16" s="3" t="b">
        <f>AND(E16&lt;180,D16&gt;DATE(2016,7,15))</f>
        <v>1</v>
      </c>
      <c r="H16" s="5">
        <f>D16+ROUNDUP(E16/10,0)</f>
        <v>42590</v>
      </c>
      <c r="I16" s="3">
        <f>VLOOKUP(C16,Departamentos!$B$3:$C$7,2,0)*E16</f>
        <v>50700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C78D-ACA4-49A9-A690-7F5F0DCEB7A9}">
  <dimension ref="A3:C15"/>
  <sheetViews>
    <sheetView workbookViewId="0">
      <selection activeCell="C15" sqref="C15"/>
    </sheetView>
  </sheetViews>
  <sheetFormatPr defaultRowHeight="15"/>
  <cols>
    <col min="1" max="1" width="16.85546875" bestFit="1" customWidth="1"/>
    <col min="2" max="2" width="19.28515625" bestFit="1" customWidth="1"/>
    <col min="3" max="3" width="22.5703125" bestFit="1" customWidth="1"/>
  </cols>
  <sheetData>
    <row r="3" spans="1:3">
      <c r="A3" t="s">
        <v>1</v>
      </c>
      <c r="B3" t="s">
        <v>2</v>
      </c>
      <c r="C3" t="s">
        <v>10</v>
      </c>
    </row>
    <row r="4" spans="1:3">
      <c r="A4">
        <v>1010</v>
      </c>
      <c r="B4" t="s">
        <v>11</v>
      </c>
      <c r="C4" t="s">
        <v>12</v>
      </c>
    </row>
    <row r="5" spans="1:3">
      <c r="A5">
        <v>1280</v>
      </c>
      <c r="B5" t="s">
        <v>13</v>
      </c>
      <c r="C5" t="s">
        <v>12</v>
      </c>
    </row>
    <row r="6" spans="1:3">
      <c r="A6">
        <v>1420</v>
      </c>
      <c r="B6" t="s">
        <v>14</v>
      </c>
      <c r="C6" t="s">
        <v>12</v>
      </c>
    </row>
    <row r="7" spans="1:3">
      <c r="A7">
        <v>1080</v>
      </c>
      <c r="B7" t="s">
        <v>15</v>
      </c>
      <c r="C7" t="s">
        <v>16</v>
      </c>
    </row>
    <row r="8" spans="1:3">
      <c r="A8">
        <v>1120</v>
      </c>
      <c r="B8" t="s">
        <v>17</v>
      </c>
      <c r="C8" t="s">
        <v>16</v>
      </c>
    </row>
    <row r="9" spans="1:3">
      <c r="A9">
        <v>1150</v>
      </c>
      <c r="B9" t="s">
        <v>18</v>
      </c>
      <c r="C9" t="s">
        <v>19</v>
      </c>
    </row>
    <row r="10" spans="1:3">
      <c r="A10">
        <v>1200</v>
      </c>
      <c r="B10" t="s">
        <v>20</v>
      </c>
      <c r="C10" t="s">
        <v>19</v>
      </c>
    </row>
    <row r="11" spans="1:3">
      <c r="A11">
        <v>1250</v>
      </c>
      <c r="B11" t="s">
        <v>21</v>
      </c>
      <c r="C11" t="s">
        <v>19</v>
      </c>
    </row>
    <row r="12" spans="1:3">
      <c r="A12">
        <v>1300</v>
      </c>
      <c r="B12" t="s">
        <v>22</v>
      </c>
      <c r="C12" t="s">
        <v>19</v>
      </c>
    </row>
    <row r="13" spans="1:3">
      <c r="A13">
        <v>1825</v>
      </c>
      <c r="B13" t="s">
        <v>23</v>
      </c>
      <c r="C13" t="s">
        <v>24</v>
      </c>
    </row>
    <row r="14" spans="1:3">
      <c r="A14">
        <v>1850</v>
      </c>
      <c r="B14" t="s">
        <v>25</v>
      </c>
      <c r="C14" t="s">
        <v>24</v>
      </c>
    </row>
    <row r="15" spans="1:3">
      <c r="A15">
        <v>1860</v>
      </c>
      <c r="B15" t="s">
        <v>26</v>
      </c>
      <c r="C15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00413-27E7-4A02-A17F-C2C7EE4369B7}">
  <dimension ref="A3:C7"/>
  <sheetViews>
    <sheetView workbookViewId="0">
      <selection activeCell="C7" sqref="C7"/>
    </sheetView>
  </sheetViews>
  <sheetFormatPr defaultRowHeight="15"/>
  <cols>
    <col min="1" max="1" width="22.5703125" bestFit="1" customWidth="1"/>
    <col min="2" max="2" width="13.5703125" bestFit="1" customWidth="1"/>
  </cols>
  <sheetData>
    <row r="3" spans="1:3">
      <c r="A3" t="s">
        <v>10</v>
      </c>
      <c r="B3" t="s">
        <v>3</v>
      </c>
      <c r="C3" t="s">
        <v>27</v>
      </c>
    </row>
    <row r="4" spans="1:3">
      <c r="A4" t="s">
        <v>12</v>
      </c>
      <c r="B4" t="s">
        <v>28</v>
      </c>
      <c r="C4">
        <v>220</v>
      </c>
    </row>
    <row r="5" spans="1:3">
      <c r="A5" t="s">
        <v>16</v>
      </c>
      <c r="B5" t="s">
        <v>29</v>
      </c>
      <c r="C5">
        <v>180</v>
      </c>
    </row>
    <row r="6" spans="1:3">
      <c r="A6" t="s">
        <v>19</v>
      </c>
      <c r="B6" t="s">
        <v>30</v>
      </c>
      <c r="C6">
        <v>250</v>
      </c>
    </row>
    <row r="7" spans="1:3">
      <c r="A7" t="s">
        <v>24</v>
      </c>
      <c r="B7" t="s">
        <v>31</v>
      </c>
      <c r="C7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2026-02-13T00:20:11Z</dcterms:created>
  <dcterms:modified xsi:type="dcterms:W3CDTF">2026-02-14T15:11:21Z</dcterms:modified>
  <cp:category/>
  <cp:contentStatus/>
</cp:coreProperties>
</file>