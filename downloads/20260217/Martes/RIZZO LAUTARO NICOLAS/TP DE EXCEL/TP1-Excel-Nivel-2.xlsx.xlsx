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filterPrivacy="1"/>
  <xr:revisionPtr revIDLastSave="0" documentId="8_{1FB9F709-4C8C-48F3-96FA-85977F689AAF}" xr6:coauthVersionLast="47" xr6:coauthVersionMax="47" xr10:uidLastSave="{00000000-0000-0000-0000-000000000000}"/>
  <bookViews>
    <workbookView xWindow="0" yWindow="0" windowWidth="28560" windowHeight="13905" xr2:uid="{A22C7B05-6B0A-4116-A99A-60EDDEA67682}"/>
  </bookViews>
  <sheets>
    <sheet name="inscripciones" sheetId="1" r:id="rId1"/>
    <sheet name="Departamentos" sheetId="3" r:id="rId2"/>
    <sheet name="Materias" sheetId="4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H7" i="1"/>
  <c r="H8" i="1"/>
  <c r="H9" i="1"/>
  <c r="H10" i="1"/>
  <c r="H11" i="1"/>
  <c r="H12" i="1"/>
  <c r="H13" i="1"/>
  <c r="H14" i="1"/>
  <c r="H15" i="1"/>
  <c r="H16" i="1"/>
  <c r="H5" i="1"/>
  <c r="G5" i="1"/>
  <c r="G6" i="1"/>
  <c r="G7" i="1"/>
  <c r="G8" i="1"/>
  <c r="G9" i="1"/>
  <c r="G10" i="1"/>
  <c r="G11" i="1"/>
  <c r="G12" i="1"/>
  <c r="G13" i="1"/>
  <c r="G14" i="1"/>
  <c r="G15" i="1"/>
  <c r="G16" i="1"/>
  <c r="F6" i="1"/>
  <c r="F7" i="1"/>
  <c r="F8" i="1"/>
  <c r="F9" i="1"/>
  <c r="F10" i="1"/>
  <c r="F11" i="1"/>
  <c r="F12" i="1"/>
  <c r="F13" i="1"/>
  <c r="F14" i="1"/>
  <c r="F15" i="1"/>
  <c r="F16" i="1"/>
  <c r="F5" i="1"/>
  <c r="B6" i="1"/>
  <c r="B7" i="1"/>
  <c r="B8" i="1"/>
  <c r="B9" i="1"/>
  <c r="B10" i="1"/>
  <c r="B11" i="1"/>
  <c r="B12" i="1"/>
  <c r="B13" i="1"/>
  <c r="B14" i="1"/>
  <c r="B15" i="1"/>
  <c r="B16" i="1"/>
  <c r="B5" i="1"/>
  <c r="C6" i="1"/>
  <c r="I6" i="1" s="1"/>
  <c r="C7" i="1"/>
  <c r="I7" i="1" s="1"/>
  <c r="C8" i="1"/>
  <c r="I8" i="1" s="1"/>
  <c r="C9" i="1"/>
  <c r="I9" i="1" s="1"/>
  <c r="C10" i="1"/>
  <c r="I10" i="1" s="1"/>
  <c r="C11" i="1"/>
  <c r="I11" i="1" s="1"/>
  <c r="C12" i="1"/>
  <c r="I12" i="1" s="1"/>
  <c r="C13" i="1"/>
  <c r="I13" i="1" s="1"/>
  <c r="C14" i="1"/>
  <c r="I14" i="1" s="1"/>
  <c r="C15" i="1"/>
  <c r="I15" i="1" s="1"/>
  <c r="C16" i="1"/>
  <c r="I16" i="1" s="1"/>
  <c r="C5" i="1"/>
  <c r="I5" i="1" s="1"/>
  <c r="I5" i="3"/>
</calcChain>
</file>

<file path=xl/sharedStrings.xml><?xml version="1.0" encoding="utf-8"?>
<sst xmlns="http://schemas.openxmlformats.org/spreadsheetml/2006/main" count="48" uniqueCount="33">
  <si>
    <t>EXAMENES FINALES</t>
  </si>
  <si>
    <t>Código de Materia</t>
  </si>
  <si>
    <t>Materia</t>
  </si>
  <si>
    <t>Departamento</t>
  </si>
  <si>
    <t>Fecha de examen</t>
  </si>
  <si>
    <t>Cantidad de inscriptos</t>
  </si>
  <si>
    <t>Condición</t>
  </si>
  <si>
    <t>Aula designada</t>
  </si>
  <si>
    <t>Publicación de las notas</t>
  </si>
  <si>
    <t>Importe de inscripciónes</t>
  </si>
  <si>
    <t>Codigo de Departamento</t>
  </si>
  <si>
    <t>Arancel</t>
  </si>
  <si>
    <t>A</t>
  </si>
  <si>
    <t>Derecho</t>
  </si>
  <si>
    <t>B</t>
  </si>
  <si>
    <t>Ingenieria</t>
  </si>
  <si>
    <t xml:space="preserve">C </t>
  </si>
  <si>
    <t>Economicas</t>
  </si>
  <si>
    <t>D</t>
  </si>
  <si>
    <t>Medicina</t>
  </si>
  <si>
    <t>Codigo de materia</t>
  </si>
  <si>
    <t>Derecho Publico</t>
  </si>
  <si>
    <t>Derecho Penal</t>
  </si>
  <si>
    <t>Derecho Civil</t>
  </si>
  <si>
    <t>Sistemas Operativos 1</t>
  </si>
  <si>
    <t>Analisis Matematico</t>
  </si>
  <si>
    <t>Computacion 1</t>
  </si>
  <si>
    <t>Estadistica</t>
  </si>
  <si>
    <t>Computacion 2</t>
  </si>
  <si>
    <t>Ingles 1</t>
  </si>
  <si>
    <t>Anatomia 1</t>
  </si>
  <si>
    <t>Biologia 1</t>
  </si>
  <si>
    <t>Enfermeria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</si>
</sst>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2C0A]\ * #,##0.00_-;\-[$$-2C0A]\ * #,##0.00_-;_-[$$-2C0A]\ * &quot;-&quot;??_-;_-@_-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center"/>
    </xf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gunlamedu-my.sharepoint.com/personal/lrizzo008_alumno_unlam_edu_ar/Documents/TP1-Excel-Nivel-2(1).xlsx" TargetMode="External"/><Relationship Id="rId1" Type="http://schemas.openxmlformats.org/officeDocument/2006/relationships/externalLinkPath" Target="TP1-Excel-Nivel-2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qktTMMmrLE67wpNNuifsaGjO4tltTJZGiDX1pndmTRDHVl8J4TDLSqhSi2x7gdoY" itemId="01FZCNTVXQZ2MT2BL4RREIJ2Y5YKZET44S">
      <xxl21:absoluteUrl r:id="rId2"/>
    </xxl21:alternateUrls>
    <sheetNames>
      <sheetName val="Inscripciones"/>
      <sheetName val="Materias"/>
      <sheetName val="Departamentos"/>
    </sheetNames>
    <sheetDataSet>
      <sheetData sheetId="0"/>
      <sheetData sheetId="1"/>
      <sheetData sheetId="2">
        <row r="3">
          <cell r="C3" t="str">
            <v>Departamento</v>
          </cell>
          <cell r="D3" t="str">
            <v>Arancel</v>
          </cell>
        </row>
        <row r="4">
          <cell r="C4" t="str">
            <v>Derecho</v>
          </cell>
          <cell r="D4">
            <v>220</v>
          </cell>
        </row>
        <row r="5">
          <cell r="C5" t="str">
            <v>Ingenieria</v>
          </cell>
          <cell r="D5">
            <v>180</v>
          </cell>
        </row>
        <row r="6">
          <cell r="C6" t="str">
            <v>Economicas</v>
          </cell>
          <cell r="D6">
            <v>250</v>
          </cell>
        </row>
        <row r="7">
          <cell r="C7" t="str">
            <v>Medicina</v>
          </cell>
          <cell r="D7">
            <v>300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FABB-DF5C-4F9E-B98F-F8DC866DADF5}">
  <sheetPr>
    <tabColor rgb="FFFF0000"/>
  </sheetPr>
  <dimension ref="A2:I16"/>
  <sheetViews>
    <sheetView tabSelected="1" workbookViewId="0">
      <selection activeCell="F2" sqref="F2:G2"/>
    </sheetView>
  </sheetViews>
  <sheetFormatPr defaultColWidth="11.42578125" defaultRowHeight="15"/>
  <cols>
    <col min="1" max="1" width="18" bestFit="1" customWidth="1"/>
    <col min="9" max="9" width="11.85546875" bestFit="1" customWidth="1"/>
  </cols>
  <sheetData>
    <row r="2" spans="1:9">
      <c r="F2" s="4" t="s">
        <v>0</v>
      </c>
      <c r="G2" s="4"/>
    </row>
    <row r="4" spans="1:9" ht="43.5">
      <c r="A4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</row>
    <row r="5" spans="1:9">
      <c r="A5">
        <v>1010</v>
      </c>
      <c r="B5" t="str">
        <f>VLOOKUP(A5,Materias!$B$3:$D$15,2,0)</f>
        <v>Derecho Publico</v>
      </c>
      <c r="C5" s="2" t="str">
        <f>VLOOKUP(VLOOKUP(A5,Materias!$B$3:$D$15,3,0),Departamentos!$B$3:$D$7,2,0)</f>
        <v>Derecho</v>
      </c>
      <c r="D5" s="3">
        <v>42569</v>
      </c>
      <c r="E5" s="2">
        <v>202</v>
      </c>
      <c r="F5" t="str">
        <f>IF(E5&lt;150,"BAJA",IF(E5&lt;200,"NORMAL","ALTA"))</f>
        <v>ALTA</v>
      </c>
      <c r="G5" t="str">
        <f>IF(AND(E5&lt;180,D5&gt;DATE(2016,7,15)),"805","812")</f>
        <v>812</v>
      </c>
      <c r="H5" s="5">
        <f>D5+ROUNDUP(E5/10,0)</f>
        <v>42590</v>
      </c>
      <c r="I5" s="6">
        <f>VLOOKUP(C5,Departamentos!$C$3:$D$7,2,0)*E5</f>
        <v>44440</v>
      </c>
    </row>
    <row r="6" spans="1:9">
      <c r="A6">
        <v>1280</v>
      </c>
      <c r="B6" t="str">
        <f>VLOOKUP(A6,Materias!$B$3:$D$15,2,0)</f>
        <v>Derecho Penal</v>
      </c>
      <c r="C6" s="2" t="str">
        <f>VLOOKUP(VLOOKUP(A6,Materias!$B$3:$D$15,3,0),Departamentos!$B$3:$D$7,2,0)</f>
        <v>Derecho</v>
      </c>
      <c r="D6" s="3">
        <v>42572</v>
      </c>
      <c r="E6" s="2">
        <v>168</v>
      </c>
      <c r="F6" t="str">
        <f>IF(E6&lt;150,"BAJA",IF(E6&lt;200,"NORMAL","ALTA"))</f>
        <v>NORMAL</v>
      </c>
      <c r="G6" t="str">
        <f>IF(AND(E6&lt;180,D6&gt;DATE(2016,7,15)),"805","812")</f>
        <v>805</v>
      </c>
      <c r="H6" s="5">
        <f t="shared" ref="H6:H16" si="0">D6+ROUNDUP(E6/10,0)</f>
        <v>42589</v>
      </c>
      <c r="I6" s="6">
        <f>VLOOKUP(C6,Departamentos!$C$3:$D$7,2,0)*E6</f>
        <v>36960</v>
      </c>
    </row>
    <row r="7" spans="1:9">
      <c r="A7">
        <v>1420</v>
      </c>
      <c r="B7" t="str">
        <f>VLOOKUP(A7,Materias!$B$3:$D$15,2,0)</f>
        <v>Derecho Civil</v>
      </c>
      <c r="C7" s="2" t="str">
        <f>VLOOKUP(VLOOKUP(A7,Materias!$B$3:$D$15,3,0),Departamentos!$B$3:$D$7,2,0)</f>
        <v>Derecho</v>
      </c>
      <c r="D7" s="3">
        <v>42564</v>
      </c>
      <c r="E7" s="2">
        <v>136</v>
      </c>
      <c r="F7" t="str">
        <f>IF(E7&lt;150,"BAJA",IF(E7&lt;200,"NORMAL","ALTA"))</f>
        <v>BAJA</v>
      </c>
      <c r="G7" t="str">
        <f>IF(AND(E7&lt;180,D7&gt;DATE(2016,7,15)),"805","812")</f>
        <v>812</v>
      </c>
      <c r="H7" s="5">
        <f t="shared" si="0"/>
        <v>42578</v>
      </c>
      <c r="I7" s="6">
        <f>VLOOKUP(C7,Departamentos!$C$3:$D$7,2,0)*E7</f>
        <v>29920</v>
      </c>
    </row>
    <row r="8" spans="1:9">
      <c r="A8">
        <v>1300</v>
      </c>
      <c r="B8" t="str">
        <f>VLOOKUP(A8,Materias!$B$3:$D$15,2,0)</f>
        <v>Ingles 1</v>
      </c>
      <c r="C8" s="2" t="str">
        <f>VLOOKUP(VLOOKUP(A8,Materias!$B$3:$D$15,3,0),Departamentos!$B$3:$D$7,2,0)</f>
        <v>Economicas</v>
      </c>
      <c r="D8" s="3">
        <v>42578</v>
      </c>
      <c r="E8" s="2">
        <v>215</v>
      </c>
      <c r="F8" t="str">
        <f>IF(E8&lt;150,"BAJA",IF(E8&lt;200,"NORMAL","ALTA"))</f>
        <v>ALTA</v>
      </c>
      <c r="G8" t="str">
        <f>IF(AND(E8&lt;180,D8&gt;DATE(2016,7,15)),"805","812")</f>
        <v>812</v>
      </c>
      <c r="H8" s="5">
        <f t="shared" si="0"/>
        <v>42600</v>
      </c>
      <c r="I8" s="6">
        <f>VLOOKUP(C8,Departamentos!$C$3:$D$7,2,0)*E8</f>
        <v>53750</v>
      </c>
    </row>
    <row r="9" spans="1:9">
      <c r="A9">
        <v>1250</v>
      </c>
      <c r="B9" t="str">
        <f>VLOOKUP(A9,Materias!$B$3:$D$15,2,0)</f>
        <v>Computacion 2</v>
      </c>
      <c r="C9" s="2" t="str">
        <f>VLOOKUP(VLOOKUP(A9,Materias!$B$3:$D$15,3,0),Departamentos!$B$3:$D$7,2,0)</f>
        <v>Economicas</v>
      </c>
      <c r="D9" s="3">
        <v>42558</v>
      </c>
      <c r="E9" s="2">
        <v>196</v>
      </c>
      <c r="F9" t="str">
        <f>IF(E9&lt;150,"BAJA",IF(E9&lt;200,"NORMAL","ALTA"))</f>
        <v>NORMAL</v>
      </c>
      <c r="G9" t="str">
        <f>IF(AND(E9&lt;180,D9&gt;DATE(2016,7,15)),"805","812")</f>
        <v>812</v>
      </c>
      <c r="H9" s="5">
        <f t="shared" si="0"/>
        <v>42578</v>
      </c>
      <c r="I9" s="6">
        <f>VLOOKUP(C9,Departamentos!$C$3:$D$7,2,0)*E9</f>
        <v>49000</v>
      </c>
    </row>
    <row r="10" spans="1:9">
      <c r="A10">
        <v>1150</v>
      </c>
      <c r="B10" t="str">
        <f>VLOOKUP(A10,Materias!$B$3:$D$15,2,0)</f>
        <v>Computacion 1</v>
      </c>
      <c r="C10" s="2" t="str">
        <f>VLOOKUP(VLOOKUP(A10,Materias!$B$3:$D$15,3,0),Departamentos!$B$3:$D$7,2,0)</f>
        <v>Economicas</v>
      </c>
      <c r="D10" s="3">
        <v>42562</v>
      </c>
      <c r="E10" s="2">
        <v>175</v>
      </c>
      <c r="F10" t="str">
        <f>IF(E10&lt;150,"BAJA",IF(E10&lt;200,"NORMAL","ALTA"))</f>
        <v>NORMAL</v>
      </c>
      <c r="G10" t="str">
        <f>IF(AND(E10&lt;180,D10&gt;DATE(2016,7,15)),"805","812")</f>
        <v>812</v>
      </c>
      <c r="H10" s="5">
        <f t="shared" si="0"/>
        <v>42580</v>
      </c>
      <c r="I10" s="6">
        <f>VLOOKUP(C10,Departamentos!$C$3:$D$7,2,0)*E10</f>
        <v>43750</v>
      </c>
    </row>
    <row r="11" spans="1:9">
      <c r="A11">
        <v>1200</v>
      </c>
      <c r="B11" t="str">
        <f>VLOOKUP(A11,Materias!$B$3:$D$15,2,0)</f>
        <v>Estadistica</v>
      </c>
      <c r="C11" s="2" t="str">
        <f>VLOOKUP(VLOOKUP(A11,Materias!$B$3:$D$15,3,0),Departamentos!$B$3:$D$7,2,0)</f>
        <v>Economicas</v>
      </c>
      <c r="D11" s="3">
        <v>42571</v>
      </c>
      <c r="E11" s="2">
        <v>158</v>
      </c>
      <c r="F11" t="str">
        <f>IF(E11&lt;150,"BAJA",IF(E11&lt;200,"NORMAL","ALTA"))</f>
        <v>NORMAL</v>
      </c>
      <c r="G11" t="str">
        <f>IF(AND(E11&lt;180,D11&gt;DATE(2016,7,15)),"805","812")</f>
        <v>805</v>
      </c>
      <c r="H11" s="5">
        <f t="shared" si="0"/>
        <v>42587</v>
      </c>
      <c r="I11" s="6">
        <f>VLOOKUP(C11,Departamentos!$C$3:$D$7,2,0)*E11</f>
        <v>39500</v>
      </c>
    </row>
    <row r="12" spans="1:9">
      <c r="A12">
        <v>1120</v>
      </c>
      <c r="B12" t="str">
        <f>VLOOKUP(A12,Materias!$B$3:$D$15,2,0)</f>
        <v>Analisis Matematico</v>
      </c>
      <c r="C12" s="2" t="str">
        <f>VLOOKUP(VLOOKUP(A12,Materias!$B$3:$D$15,3,0),Departamentos!$B$3:$D$7,2,0)</f>
        <v>Ingenieria</v>
      </c>
      <c r="D12" s="3">
        <v>42566</v>
      </c>
      <c r="E12" s="2">
        <v>232</v>
      </c>
      <c r="F12" t="str">
        <f>IF(E12&lt;150,"BAJA",IF(E12&lt;200,"NORMAL","ALTA"))</f>
        <v>ALTA</v>
      </c>
      <c r="G12" t="str">
        <f>IF(AND(E12&lt;180,D12&gt;DATE(2016,7,15)),"805","812")</f>
        <v>812</v>
      </c>
      <c r="H12" s="5">
        <f t="shared" si="0"/>
        <v>42590</v>
      </c>
      <c r="I12" s="6">
        <f>VLOOKUP(C12,Departamentos!$C$3:$D$7,2,0)*E12</f>
        <v>41760</v>
      </c>
    </row>
    <row r="13" spans="1:9">
      <c r="A13">
        <v>1080</v>
      </c>
      <c r="B13" t="str">
        <f>VLOOKUP(A13,Materias!$B$3:$D$15,2,0)</f>
        <v>Sistemas Operativos 1</v>
      </c>
      <c r="C13" s="2" t="str">
        <f>VLOOKUP(VLOOKUP(A13,Materias!$B$3:$D$15,3,0),Departamentos!$B$3:$D$7,2,0)</f>
        <v>Ingenieria</v>
      </c>
      <c r="D13" s="3">
        <v>42574</v>
      </c>
      <c r="E13" s="2">
        <v>141</v>
      </c>
      <c r="F13" t="str">
        <f>IF(E13&lt;150,"BAJA",IF(E13&lt;200,"NORMAL","ALTA"))</f>
        <v>BAJA</v>
      </c>
      <c r="G13" t="str">
        <f>IF(AND(E13&lt;180,D13&gt;DATE(2016,7,15)),"805","812")</f>
        <v>805</v>
      </c>
      <c r="H13" s="5">
        <f t="shared" si="0"/>
        <v>42589</v>
      </c>
      <c r="I13" s="6">
        <f>VLOOKUP(C13,Departamentos!$C$3:$D$7,2,0)*E13</f>
        <v>25380</v>
      </c>
    </row>
    <row r="14" spans="1:9">
      <c r="A14">
        <v>1860</v>
      </c>
      <c r="B14" t="str">
        <f>VLOOKUP(A14,Materias!$B$3:$D$15,2,0)</f>
        <v>Enfermeria</v>
      </c>
      <c r="C14" s="2" t="str">
        <f>VLOOKUP(VLOOKUP(A14,Materias!$B$3:$D$15,3,0),Departamentos!$B$3:$D$7,2,0)</f>
        <v>Medicina</v>
      </c>
      <c r="D14" s="3">
        <v>42575</v>
      </c>
      <c r="E14" s="2">
        <v>171</v>
      </c>
      <c r="F14" t="str">
        <f>IF(E14&lt;150,"BAJA",IF(E14&lt;200,"NORMAL","ALTA"))</f>
        <v>NORMAL</v>
      </c>
      <c r="G14" t="str">
        <f>IF(AND(E14&lt;180,D14&gt;DATE(2016,7,15)),"805","812")</f>
        <v>805</v>
      </c>
      <c r="H14" s="5">
        <f t="shared" si="0"/>
        <v>42593</v>
      </c>
      <c r="I14" s="6">
        <f>VLOOKUP(C14,Departamentos!$C$3:$D$7,2,0)*E14</f>
        <v>51300</v>
      </c>
    </row>
    <row r="15" spans="1:9">
      <c r="A15">
        <v>1850</v>
      </c>
      <c r="B15" t="str">
        <f>VLOOKUP(A15,Materias!$B$3:$D$15,2,0)</f>
        <v>Biologia 1</v>
      </c>
      <c r="C15" s="2" t="str">
        <f>VLOOKUP(VLOOKUP(A15,Materias!$B$3:$D$15,3,0),Departamentos!$B$3:$D$7,2,0)</f>
        <v>Medicina</v>
      </c>
      <c r="D15" s="3">
        <v>42574</v>
      </c>
      <c r="E15" s="2">
        <v>170</v>
      </c>
      <c r="F15" t="str">
        <f>IF(E15&lt;150,"BAJA",IF(E15&lt;200,"NORMAL","ALTA"))</f>
        <v>NORMAL</v>
      </c>
      <c r="G15" t="str">
        <f>IF(AND(E15&lt;180,D15&gt;DATE(2016,7,15)),"805","812")</f>
        <v>805</v>
      </c>
      <c r="H15" s="5">
        <f t="shared" si="0"/>
        <v>42591</v>
      </c>
      <c r="I15" s="6">
        <f>VLOOKUP(C15,Departamentos!$C$3:$D$7,2,0)*E15</f>
        <v>51000</v>
      </c>
    </row>
    <row r="16" spans="1:9">
      <c r="A16">
        <v>1825</v>
      </c>
      <c r="B16" t="str">
        <f>VLOOKUP(A16,Materias!$B$3:$D$15,2,0)</f>
        <v>Anatomia 1</v>
      </c>
      <c r="C16" s="2" t="str">
        <f>VLOOKUP(VLOOKUP(A16,Materias!$B$3:$D$15,3,0),Departamentos!$B$3:$D$7,2,0)</f>
        <v>Medicina</v>
      </c>
      <c r="D16" s="3">
        <v>42573</v>
      </c>
      <c r="E16" s="2">
        <v>169</v>
      </c>
      <c r="F16" t="str">
        <f>IF(E16&lt;150,"BAJA",IF(E16&lt;200,"NORMAL","ALTA"))</f>
        <v>NORMAL</v>
      </c>
      <c r="G16" t="str">
        <f>IF(AND(E16&lt;180,D16&gt;DATE(2016,7,15)),"805","812")</f>
        <v>805</v>
      </c>
      <c r="H16" s="5">
        <f t="shared" si="0"/>
        <v>42590</v>
      </c>
      <c r="I16" s="6">
        <f>VLOOKUP(C16,Departamentos!$C$3:$D$7,2,0)*E16</f>
        <v>50700</v>
      </c>
    </row>
  </sheetData>
  <mergeCells count="1">
    <mergeCell ref="F2:G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A9EB6-273C-4122-A04C-10E305579D7D}">
  <sheetPr>
    <tabColor rgb="FF00B050"/>
  </sheetPr>
  <dimension ref="B3:I7"/>
  <sheetViews>
    <sheetView workbookViewId="0"/>
  </sheetViews>
  <sheetFormatPr defaultRowHeight="15"/>
  <cols>
    <col min="2" max="2" width="13" customWidth="1"/>
    <col min="3" max="3" width="14.7109375" customWidth="1"/>
    <col min="4" max="4" width="11.28515625" customWidth="1"/>
  </cols>
  <sheetData>
    <row r="3" spans="2:9" s="2" customFormat="1" ht="43.5">
      <c r="B3" s="1" t="s">
        <v>10</v>
      </c>
      <c r="C3" s="1" t="s">
        <v>3</v>
      </c>
      <c r="D3" s="1" t="s">
        <v>11</v>
      </c>
    </row>
    <row r="4" spans="2:9" s="2" customFormat="1">
      <c r="B4" s="1" t="s">
        <v>12</v>
      </c>
      <c r="C4" s="1" t="s">
        <v>13</v>
      </c>
      <c r="D4" s="1">
        <v>220</v>
      </c>
    </row>
    <row r="5" spans="2:9" s="2" customFormat="1">
      <c r="B5" s="1" t="s">
        <v>14</v>
      </c>
      <c r="C5" s="1" t="s">
        <v>15</v>
      </c>
      <c r="D5" s="1">
        <v>180</v>
      </c>
      <c r="I5" s="2">
        <f>VLOOKUP(C5,[1]Departamentos!$C$3:$D$7,2,0)</f>
        <v>180</v>
      </c>
    </row>
    <row r="6" spans="2:9" s="2" customFormat="1">
      <c r="B6" s="1" t="s">
        <v>16</v>
      </c>
      <c r="C6" s="1" t="s">
        <v>17</v>
      </c>
      <c r="D6" s="1">
        <v>250</v>
      </c>
    </row>
    <row r="7" spans="2:9" s="2" customFormat="1">
      <c r="B7" s="1" t="s">
        <v>18</v>
      </c>
      <c r="C7" s="1" t="s">
        <v>19</v>
      </c>
      <c r="D7" s="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C24E-7CAE-4221-87E3-126C06B4AB9F}">
  <sheetPr>
    <tabColor rgb="FFFFC000"/>
  </sheetPr>
  <dimension ref="B3:D15"/>
  <sheetViews>
    <sheetView workbookViewId="0"/>
  </sheetViews>
  <sheetFormatPr defaultRowHeight="15"/>
  <cols>
    <col min="2" max="2" width="12" customWidth="1"/>
    <col min="3" max="3" width="19.85546875" customWidth="1"/>
    <col min="4" max="4" width="14.42578125" customWidth="1"/>
  </cols>
  <sheetData>
    <row r="3" spans="2:4" s="2" customFormat="1" ht="29.25">
      <c r="B3" s="1" t="s">
        <v>20</v>
      </c>
      <c r="C3" s="1" t="s">
        <v>2</v>
      </c>
      <c r="D3" s="1" t="s">
        <v>10</v>
      </c>
    </row>
    <row r="4" spans="2:4" s="2" customFormat="1">
      <c r="B4" s="1">
        <v>1010</v>
      </c>
      <c r="C4" s="1" t="s">
        <v>21</v>
      </c>
      <c r="D4" s="1" t="s">
        <v>12</v>
      </c>
    </row>
    <row r="5" spans="2:4" s="2" customFormat="1">
      <c r="B5" s="1">
        <v>1280</v>
      </c>
      <c r="C5" s="1" t="s">
        <v>22</v>
      </c>
      <c r="D5" s="1" t="s">
        <v>12</v>
      </c>
    </row>
    <row r="6" spans="2:4" s="2" customFormat="1">
      <c r="B6" s="1">
        <v>1420</v>
      </c>
      <c r="C6" s="1" t="s">
        <v>23</v>
      </c>
      <c r="D6" s="1" t="s">
        <v>12</v>
      </c>
    </row>
    <row r="7" spans="2:4" s="2" customFormat="1">
      <c r="B7" s="1">
        <v>1080</v>
      </c>
      <c r="C7" s="1" t="s">
        <v>24</v>
      </c>
      <c r="D7" s="1" t="s">
        <v>14</v>
      </c>
    </row>
    <row r="8" spans="2:4" s="2" customFormat="1">
      <c r="B8" s="1">
        <v>1120</v>
      </c>
      <c r="C8" s="1" t="s">
        <v>25</v>
      </c>
      <c r="D8" s="1" t="s">
        <v>14</v>
      </c>
    </row>
    <row r="9" spans="2:4" s="2" customFormat="1">
      <c r="B9" s="1">
        <v>1150</v>
      </c>
      <c r="C9" s="1" t="s">
        <v>26</v>
      </c>
      <c r="D9" s="1" t="s">
        <v>16</v>
      </c>
    </row>
    <row r="10" spans="2:4" s="2" customFormat="1">
      <c r="B10" s="1">
        <v>1200</v>
      </c>
      <c r="C10" s="1" t="s">
        <v>27</v>
      </c>
      <c r="D10" s="1" t="s">
        <v>16</v>
      </c>
    </row>
    <row r="11" spans="2:4" s="2" customFormat="1">
      <c r="B11" s="1">
        <v>1250</v>
      </c>
      <c r="C11" s="1" t="s">
        <v>28</v>
      </c>
      <c r="D11" s="1" t="s">
        <v>16</v>
      </c>
    </row>
    <row r="12" spans="2:4" s="2" customFormat="1">
      <c r="B12" s="1">
        <v>1300</v>
      </c>
      <c r="C12" s="1" t="s">
        <v>29</v>
      </c>
      <c r="D12" s="1" t="s">
        <v>16</v>
      </c>
    </row>
    <row r="13" spans="2:4" s="2" customFormat="1">
      <c r="B13" s="1">
        <v>1825</v>
      </c>
      <c r="C13" s="1" t="s">
        <v>30</v>
      </c>
      <c r="D13" s="1" t="s">
        <v>18</v>
      </c>
    </row>
    <row r="14" spans="2:4" s="2" customFormat="1">
      <c r="B14" s="1">
        <v>1850</v>
      </c>
      <c r="C14" s="1" t="s">
        <v>31</v>
      </c>
      <c r="D14" s="1" t="s">
        <v>18</v>
      </c>
    </row>
    <row r="15" spans="2:4" s="2" customFormat="1">
      <c r="B15" s="1">
        <v>1860</v>
      </c>
      <c r="C15" s="1" t="s">
        <v>32</v>
      </c>
      <c r="D15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2026-02-15T19:31:34Z</dcterms:created>
  <dcterms:modified xsi:type="dcterms:W3CDTF">2026-02-16T03:02:41Z</dcterms:modified>
  <cp:category/>
  <cp:contentStatus/>
</cp:coreProperties>
</file>