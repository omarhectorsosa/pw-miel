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filterPrivacy="1" defaultThemeVersion="166925"/>
  <xr:revisionPtr revIDLastSave="0" documentId="8_{9703B8B8-05F6-4DFC-8D69-29F8BA346FF3}" xr6:coauthVersionLast="47" xr6:coauthVersionMax="47" xr10:uidLastSave="{00000000-0000-0000-0000-000000000000}"/>
  <bookViews>
    <workbookView xWindow="0" yWindow="0" windowWidth="28560" windowHeight="13905" xr2:uid="{A22C7B05-6B0A-4116-A99A-60EDDEA6768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E15" i="1"/>
  <c r="E14" i="1"/>
  <c r="E13" i="1"/>
  <c r="E12" i="1"/>
  <c r="E11" i="1"/>
  <c r="E10" i="1"/>
  <c r="E9" i="1"/>
  <c r="E8" i="1"/>
  <c r="E7" i="1"/>
  <c r="E6" i="1"/>
  <c r="E5" i="1"/>
  <c r="B18" i="1" s="1"/>
  <c r="E4" i="1"/>
  <c r="B20" i="1" s="1"/>
  <c r="E3" i="1"/>
  <c r="E2" i="1"/>
</calcChain>
</file>

<file path=xl/sharedStrings.xml><?xml version="1.0" encoding="utf-8"?>
<sst xmlns="http://schemas.openxmlformats.org/spreadsheetml/2006/main" count="36" uniqueCount="28">
  <si>
    <t>CODIGO</t>
  </si>
  <si>
    <t>DESCRIPCION</t>
  </si>
  <si>
    <t>CANTIDAD</t>
  </si>
  <si>
    <t>PRECIO UNIT.</t>
  </si>
  <si>
    <t>TOTAL</t>
  </si>
  <si>
    <t>R</t>
  </si>
  <si>
    <t>Radio AM/FM 3 bandas</t>
  </si>
  <si>
    <t>Radio onda corta</t>
  </si>
  <si>
    <t>T</t>
  </si>
  <si>
    <t>TV portatil (12V)</t>
  </si>
  <si>
    <t>C</t>
  </si>
  <si>
    <t>Anafe 2 hornallas</t>
  </si>
  <si>
    <t>V</t>
  </si>
  <si>
    <t>Ventilador 25" giratorio</t>
  </si>
  <si>
    <t>Radio con CD y MP3</t>
  </si>
  <si>
    <t xml:space="preserve">C </t>
  </si>
  <si>
    <t>Cocina 4 hornallas</t>
  </si>
  <si>
    <t>H</t>
  </si>
  <si>
    <t>Freezer carga superior</t>
  </si>
  <si>
    <t>Televisor 32"</t>
  </si>
  <si>
    <t>Aire acondicionado F/C</t>
  </si>
  <si>
    <t>Televisor 42" LED</t>
  </si>
  <si>
    <t xml:space="preserve">Heladera 12 pies, con freezer </t>
  </si>
  <si>
    <t>Cocina industrial 6 hornallas</t>
  </si>
  <si>
    <t>Televisor 42" LED 3D</t>
  </si>
  <si>
    <t>Importe total</t>
  </si>
  <si>
    <t>Contar productos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</si>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</sst>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2C0A]\ #,##0.00"/>
    <numFmt numFmtId="165" formatCode="_-[$$-2C0A]\ * #,##0.00_-;\-[$$-2C0A]\ * #,##0.00_-;_-[$$-2C0A]\ * &quot;-&quot;??_-;_-@_-"/>
  </numFmts>
  <fonts count="2">
    <font>
      <sz val="11"/>
      <color theme="1"/>
      <name val="Calibri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E20"/>
  <sheetViews>
    <sheetView tabSelected="1" workbookViewId="0">
      <selection activeCell="F14" sqref="F14"/>
    </sheetView>
  </sheetViews>
  <sheetFormatPr defaultColWidth="11.42578125" defaultRowHeight="15"/>
  <sheetData>
    <row r="1" spans="1: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>
      <c r="A2" s="3" t="s">
        <v>5</v>
      </c>
      <c r="B2" s="3" t="s">
        <v>6</v>
      </c>
      <c r="C2" s="3">
        <v>5</v>
      </c>
      <c r="D2" s="4">
        <v>1200</v>
      </c>
      <c r="E2" s="5">
        <f>PRODUCT(C2:D2)</f>
        <v>6000</v>
      </c>
    </row>
    <row r="3" spans="1:5">
      <c r="A3" s="3" t="s">
        <v>5</v>
      </c>
      <c r="B3" s="3" t="s">
        <v>7</v>
      </c>
      <c r="C3" s="3">
        <v>4</v>
      </c>
      <c r="D3" s="4">
        <v>1800</v>
      </c>
      <c r="E3" s="5">
        <f>PRODUCT(C3:D3)</f>
        <v>7200</v>
      </c>
    </row>
    <row r="4" spans="1:5">
      <c r="A4" s="3" t="s">
        <v>8</v>
      </c>
      <c r="B4" s="3" t="s">
        <v>9</v>
      </c>
      <c r="C4" s="3">
        <v>1</v>
      </c>
      <c r="D4" s="4">
        <v>1800</v>
      </c>
      <c r="E4" s="5">
        <f>PRODUCT(C4:D4)</f>
        <v>1800</v>
      </c>
    </row>
    <row r="5" spans="1:5">
      <c r="A5" s="3" t="s">
        <v>10</v>
      </c>
      <c r="B5" s="3" t="s">
        <v>11</v>
      </c>
      <c r="C5" s="3">
        <v>2</v>
      </c>
      <c r="D5" s="4">
        <v>2400</v>
      </c>
      <c r="E5" s="5">
        <f>PRODUCT(C5:D5)</f>
        <v>4800</v>
      </c>
    </row>
    <row r="6" spans="1:5">
      <c r="A6" s="3" t="s">
        <v>12</v>
      </c>
      <c r="B6" s="3" t="s">
        <v>13</v>
      </c>
      <c r="C6" s="3">
        <v>6</v>
      </c>
      <c r="D6" s="4">
        <v>2500</v>
      </c>
      <c r="E6" s="5">
        <f>PRODUCT(C6:D6)</f>
        <v>15000</v>
      </c>
    </row>
    <row r="7" spans="1:5">
      <c r="A7" s="3" t="s">
        <v>5</v>
      </c>
      <c r="B7" s="3" t="s">
        <v>14</v>
      </c>
      <c r="C7" s="3">
        <v>3</v>
      </c>
      <c r="D7" s="4">
        <v>2600</v>
      </c>
      <c r="E7" s="5">
        <f>PRODUCT(C7:D7)</f>
        <v>7800</v>
      </c>
    </row>
    <row r="8" spans="1:5">
      <c r="A8" s="3" t="s">
        <v>15</v>
      </c>
      <c r="B8" s="3" t="s">
        <v>16</v>
      </c>
      <c r="C8" s="3">
        <v>10</v>
      </c>
      <c r="D8" s="4">
        <v>4800</v>
      </c>
      <c r="E8" s="5">
        <f>PRODUCT(C8:D8)</f>
        <v>48000</v>
      </c>
    </row>
    <row r="9" spans="1:5">
      <c r="A9" s="3" t="s">
        <v>17</v>
      </c>
      <c r="B9" s="3" t="s">
        <v>18</v>
      </c>
      <c r="C9" s="3">
        <v>4</v>
      </c>
      <c r="D9" s="4">
        <v>5000</v>
      </c>
      <c r="E9" s="5">
        <f>PRODUCT(C9:D9)</f>
        <v>20000</v>
      </c>
    </row>
    <row r="10" spans="1:5">
      <c r="A10" s="3" t="s">
        <v>8</v>
      </c>
      <c r="B10" s="3" t="s">
        <v>19</v>
      </c>
      <c r="C10" s="3">
        <v>12</v>
      </c>
      <c r="D10" s="4">
        <v>6500</v>
      </c>
      <c r="E10" s="5">
        <f>PRODUCT(C10:D10)</f>
        <v>78000</v>
      </c>
    </row>
    <row r="11" spans="1:5">
      <c r="A11" s="3" t="s">
        <v>12</v>
      </c>
      <c r="B11" s="3" t="s">
        <v>20</v>
      </c>
      <c r="C11" s="3">
        <v>6</v>
      </c>
      <c r="D11" s="4">
        <v>6500</v>
      </c>
      <c r="E11" s="5">
        <f>PRODUCT(C11:D11)</f>
        <v>39000</v>
      </c>
    </row>
    <row r="12" spans="1:5">
      <c r="A12" s="3" t="s">
        <v>8</v>
      </c>
      <c r="B12" s="3" t="s">
        <v>21</v>
      </c>
      <c r="C12" s="3">
        <v>8</v>
      </c>
      <c r="D12" s="4">
        <v>7800</v>
      </c>
      <c r="E12" s="5">
        <f>PRODUCT(C12:D12)</f>
        <v>62400</v>
      </c>
    </row>
    <row r="13" spans="1:5">
      <c r="A13" s="3" t="s">
        <v>17</v>
      </c>
      <c r="B13" s="3" t="s">
        <v>22</v>
      </c>
      <c r="C13" s="3">
        <v>7</v>
      </c>
      <c r="D13" s="4">
        <v>8500</v>
      </c>
      <c r="E13" s="5">
        <f>PRODUCT(C13:D13)</f>
        <v>59500</v>
      </c>
    </row>
    <row r="14" spans="1:5">
      <c r="A14" s="3" t="s">
        <v>10</v>
      </c>
      <c r="B14" s="3" t="s">
        <v>23</v>
      </c>
      <c r="C14" s="3">
        <v>2</v>
      </c>
      <c r="D14" s="4">
        <v>9400</v>
      </c>
      <c r="E14" s="5">
        <f>PRODUCT(C14:D14)</f>
        <v>18800</v>
      </c>
    </row>
    <row r="15" spans="1:5">
      <c r="A15" s="3" t="s">
        <v>8</v>
      </c>
      <c r="B15" s="3" t="s">
        <v>24</v>
      </c>
      <c r="C15" s="3">
        <v>8</v>
      </c>
      <c r="D15" s="4">
        <v>12000</v>
      </c>
      <c r="E15" s="5">
        <f>PRODUCT(C15:D15)</f>
        <v>96000</v>
      </c>
    </row>
    <row r="18" spans="1:2">
      <c r="A18" s="3" t="s">
        <v>25</v>
      </c>
      <c r="B18">
        <f>SUMIFS(E2:E15,A2:A15,"C",C2:C15,"&lt;10")</f>
        <v>23600</v>
      </c>
    </row>
    <row r="19" spans="1:2">
      <c r="A19" s="3" t="s">
        <v>26</v>
      </c>
      <c r="B19">
        <f>COUNTIFS(A2:A15,"R",D2:D15,"&gt;2000",C2:C15,"&lt;4")</f>
        <v>1</v>
      </c>
    </row>
    <row r="20" spans="1:2">
      <c r="A20" s="3" t="s">
        <v>27</v>
      </c>
      <c r="B20">
        <f>AVERAGEIFS(E2:E15,B2:B15,"T*",D2:D15,"&lt;12000")</f>
        <v>47400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2026-02-17T19:32:54Z</dcterms:created>
  <dcterms:modified xsi:type="dcterms:W3CDTF">2026-02-17T19:34:04Z</dcterms:modified>
  <cp:category/>
  <cp:contentStatus/>
</cp:coreProperties>
</file>