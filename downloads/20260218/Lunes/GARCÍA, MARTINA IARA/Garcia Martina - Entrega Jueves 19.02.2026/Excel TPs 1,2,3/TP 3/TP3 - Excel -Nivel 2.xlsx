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Martina\Computación II\Excel\TP 3\"/>
    </mc:Choice>
  </mc:AlternateContent>
  <bookViews>
    <workbookView xWindow="0" yWindow="0" windowWidth="28800" windowHeight="11580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8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<sst xmlns="http://schemas.openxmlformats.org/spreadsheetml/2006/main" count="129" uniqueCount="30">
  <si>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</si>
  <si>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</si>
  <si>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</si>
  <si>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</si>
  <si>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</si>
  <si>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T</t>
  </si>
  <si>
    <t>Televisor 32''</t>
  </si>
  <si>
    <t>C</t>
  </si>
  <si>
    <t>Cocina 4 hornallas</t>
  </si>
  <si>
    <t>Televisor 42'' HD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</si>
  <si>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</si>
  <si>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</si>
  <si>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</si>
  <si>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</si>
  <si>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</si>
  <si>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</si>
  <si>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</si>
  <si>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</si>
  <si>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42'' LED 3D</t>
  </si>
  <si>
    <t>V</t>
  </si>
  <si>
    <t>Ventilador 25'' giratorio</t>
  </si>
  <si>
    <t>Aire acondicionado F/C</t>
  </si>
  <si>
    <t>Anafe 2 hornallas</t>
  </si>
  <si>
    <t>TV Portatil (12V)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</si>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</sst>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409]#,##0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charset val="1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4" xfId="0" applyFont="1" applyFill="1" applyBorder="1" applyAlignment="1"/>
    <xf numFmtId="0" fontId="2" fillId="0" borderId="5" xfId="0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164" fontId="3" fillId="0" borderId="3" xfId="0" applyNumberFormat="1" applyFont="1" applyFill="1" applyBorder="1" applyAlignment="1"/>
    <xf numFmtId="164" fontId="3" fillId="0" borderId="6" xfId="0" applyNumberFormat="1" applyFont="1" applyFill="1" applyBorder="1" applyAlignment="1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1" fillId="2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A21" sqref="A21"/>
    </sheetView>
  </sheetViews>
  <sheetFormatPr baseColWidth="10" defaultColWidth="9.140625" defaultRowHeight="15"/>
  <cols>
    <col min="2" max="2" width="28.5703125" customWidth="1"/>
    <col min="3" max="3" width="10.28515625" bestFit="1" customWidth="1"/>
    <col min="4" max="4" width="12.85546875" bestFit="1" customWidth="1"/>
    <col min="5" max="5" width="11" bestFit="1" customWidth="1"/>
    <col min="6" max="6" width="10.28515625" bestFit="1" customWidth="1"/>
  </cols>
  <sheetData>
    <row r="1" spans="1: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>
      <c r="A2" s="1" t="s">
        <v>5</v>
      </c>
      <c r="B2" s="2" t="s">
        <v>6</v>
      </c>
      <c r="C2" s="2">
        <v>12</v>
      </c>
      <c r="D2" s="7">
        <v>6500</v>
      </c>
      <c r="E2" s="7">
        <f>PRODUCT(C2,D2)</f>
        <v>78000</v>
      </c>
    </row>
    <row r="3" spans="1:5">
      <c r="A3" s="3" t="s">
        <v>7</v>
      </c>
      <c r="B3" s="4" t="s">
        <v>8</v>
      </c>
      <c r="C3" s="4">
        <v>10</v>
      </c>
      <c r="D3" s="8">
        <v>4800</v>
      </c>
      <c r="E3" s="7">
        <f t="shared" ref="E3:E15" si="0">PRODUCT(C3,D3)</f>
        <v>48000</v>
      </c>
    </row>
    <row r="4" spans="1:5">
      <c r="A4" s="3" t="s">
        <v>5</v>
      </c>
      <c r="B4" s="4" t="s">
        <v>9</v>
      </c>
      <c r="C4" s="4">
        <v>8</v>
      </c>
      <c r="D4" s="8">
        <v>7800</v>
      </c>
      <c r="E4" s="7">
        <f t="shared" si="0"/>
        <v>62400</v>
      </c>
    </row>
    <row r="5" spans="1:5">
      <c r="A5" s="3" t="s">
        <v>10</v>
      </c>
      <c r="B5" s="4" t="s">
        <v>11</v>
      </c>
      <c r="C5" s="4">
        <v>7</v>
      </c>
      <c r="D5" s="8">
        <v>8500</v>
      </c>
      <c r="E5" s="7">
        <f t="shared" si="0"/>
        <v>59500</v>
      </c>
    </row>
    <row r="6" spans="1:5">
      <c r="A6" s="3" t="s">
        <v>10</v>
      </c>
      <c r="B6" s="4" t="s">
        <v>12</v>
      </c>
      <c r="C6" s="4">
        <v>4</v>
      </c>
      <c r="D6" s="8">
        <v>5000</v>
      </c>
      <c r="E6" s="7">
        <f t="shared" si="0"/>
        <v>20000</v>
      </c>
    </row>
    <row r="7" spans="1:5">
      <c r="A7" s="3" t="s">
        <v>13</v>
      </c>
      <c r="B7" s="4" t="s">
        <v>14</v>
      </c>
      <c r="C7" s="4">
        <v>4</v>
      </c>
      <c r="D7" s="8">
        <v>1800</v>
      </c>
      <c r="E7" s="7">
        <f t="shared" si="0"/>
        <v>7200</v>
      </c>
    </row>
    <row r="8" spans="1:5">
      <c r="A8" s="3" t="s">
        <v>13</v>
      </c>
      <c r="B8" s="4" t="s">
        <v>15</v>
      </c>
      <c r="C8" s="4">
        <v>3</v>
      </c>
      <c r="D8" s="8">
        <v>2600</v>
      </c>
      <c r="E8" s="7">
        <f t="shared" si="0"/>
        <v>7800</v>
      </c>
    </row>
    <row r="9" spans="1:5">
      <c r="A9" s="3" t="s">
        <v>13</v>
      </c>
      <c r="B9" s="4" t="s">
        <v>16</v>
      </c>
      <c r="C9" s="4">
        <v>5</v>
      </c>
      <c r="D9" s="8">
        <v>1200</v>
      </c>
      <c r="E9" s="7">
        <f t="shared" si="0"/>
        <v>6000</v>
      </c>
    </row>
    <row r="10" spans="1:5">
      <c r="A10" s="3" t="s">
        <v>7</v>
      </c>
      <c r="B10" s="4" t="s">
        <v>17</v>
      </c>
      <c r="C10" s="4">
        <v>2</v>
      </c>
      <c r="D10" s="8">
        <v>9400</v>
      </c>
      <c r="E10" s="7">
        <f t="shared" si="0"/>
        <v>18800</v>
      </c>
    </row>
    <row r="11" spans="1:5">
      <c r="A11" s="3" t="s">
        <v>5</v>
      </c>
      <c r="B11" s="4" t="s">
        <v>18</v>
      </c>
      <c r="C11" s="4">
        <v>8</v>
      </c>
      <c r="D11" s="8">
        <v>12000</v>
      </c>
      <c r="E11" s="7">
        <f t="shared" si="0"/>
        <v>96000</v>
      </c>
    </row>
    <row r="12" spans="1:5">
      <c r="A12" s="3" t="s">
        <v>19</v>
      </c>
      <c r="B12" s="4" t="s">
        <v>20</v>
      </c>
      <c r="C12" s="4">
        <v>6</v>
      </c>
      <c r="D12" s="8">
        <v>2500</v>
      </c>
      <c r="E12" s="7">
        <f t="shared" si="0"/>
        <v>15000</v>
      </c>
    </row>
    <row r="13" spans="1:5">
      <c r="A13" s="3" t="s">
        <v>19</v>
      </c>
      <c r="B13" s="4" t="s">
        <v>21</v>
      </c>
      <c r="C13" s="4">
        <v>6</v>
      </c>
      <c r="D13" s="8">
        <v>6500</v>
      </c>
      <c r="E13" s="7">
        <f t="shared" si="0"/>
        <v>39000</v>
      </c>
    </row>
    <row r="14" spans="1:5">
      <c r="A14" s="3" t="s">
        <v>7</v>
      </c>
      <c r="B14" s="4" t="s">
        <v>22</v>
      </c>
      <c r="C14" s="4">
        <v>2</v>
      </c>
      <c r="D14" s="8">
        <v>2400</v>
      </c>
      <c r="E14" s="7">
        <f t="shared" si="0"/>
        <v>4800</v>
      </c>
    </row>
    <row r="15" spans="1:5">
      <c r="A15" s="3" t="s">
        <v>5</v>
      </c>
      <c r="B15" s="4" t="s">
        <v>23</v>
      </c>
      <c r="C15" s="4">
        <v>1</v>
      </c>
      <c r="D15" s="8">
        <v>1800</v>
      </c>
      <c r="E15" s="7">
        <f t="shared" si="0"/>
        <v>1800</v>
      </c>
    </row>
    <row r="16" spans="1:5">
      <c r="A16" s="5"/>
      <c r="B16" s="5"/>
      <c r="C16" s="5"/>
      <c r="D16" s="5"/>
      <c r="E16" s="5"/>
    </row>
    <row r="17" spans="1:6">
      <c r="A17" s="5">
        <f>DMAX(A1:E15,4,A25:E26)</f>
        <v>8500</v>
      </c>
      <c r="B17" s="6"/>
      <c r="C17" s="6"/>
      <c r="D17" s="6"/>
      <c r="E17" s="6"/>
    </row>
    <row r="18" spans="1:6">
      <c r="A18" s="5">
        <f>DSUM(A1:E15,5,A30:E31)</f>
        <v>6000</v>
      </c>
      <c r="B18" s="5"/>
      <c r="C18" s="5"/>
      <c r="D18" s="5"/>
      <c r="E18" s="5"/>
    </row>
    <row r="19" spans="1:6">
      <c r="A19" s="5">
        <f>DGET(A1:E15,4,A35:E36)</f>
        <v>1800</v>
      </c>
      <c r="B19" s="5"/>
      <c r="C19" s="5"/>
      <c r="D19" s="5"/>
      <c r="E19" s="5"/>
    </row>
    <row r="20" spans="1:6">
      <c r="A20" s="5">
        <f>DCOUNTA(A1:E15,2,A40:F41)</f>
        <v>6</v>
      </c>
      <c r="B20" s="5"/>
      <c r="C20" s="5"/>
      <c r="D20" s="5"/>
      <c r="E20" s="5"/>
    </row>
    <row r="25" spans="1:6">
      <c r="A25" s="11" t="s">
        <v>0</v>
      </c>
      <c r="B25" s="11" t="s">
        <v>1</v>
      </c>
      <c r="C25" s="11" t="s">
        <v>2</v>
      </c>
      <c r="D25" s="11" t="s">
        <v>3</v>
      </c>
      <c r="E25" s="11" t="s">
        <v>4</v>
      </c>
      <c r="F25" s="5"/>
    </row>
    <row r="26" spans="1:6">
      <c r="A26" s="5" t="s">
        <v>10</v>
      </c>
      <c r="B26" s="5"/>
      <c r="C26" s="5"/>
      <c r="D26" s="5"/>
      <c r="E26" s="5"/>
      <c r="F26" s="5"/>
    </row>
    <row r="27" spans="1:6">
      <c r="A27" s="5"/>
      <c r="B27" s="5"/>
      <c r="C27" s="5"/>
      <c r="D27" s="5"/>
      <c r="E27" s="5"/>
      <c r="F27" s="5"/>
    </row>
    <row r="28" spans="1:6">
      <c r="A28" s="9"/>
      <c r="B28" s="9"/>
      <c r="C28" s="9"/>
      <c r="D28" s="9"/>
      <c r="E28" s="9"/>
      <c r="F28" s="5"/>
    </row>
    <row r="29" spans="1:6">
      <c r="A29" s="5"/>
      <c r="B29" s="5"/>
      <c r="C29" s="5"/>
      <c r="D29" s="5"/>
      <c r="E29" s="5"/>
      <c r="F29" s="5"/>
    </row>
    <row r="30" spans="1:6">
      <c r="A30" s="11" t="s">
        <v>0</v>
      </c>
      <c r="B30" s="11" t="s">
        <v>1</v>
      </c>
      <c r="C30" s="11" t="s">
        <v>2</v>
      </c>
      <c r="D30" s="11" t="s">
        <v>3</v>
      </c>
      <c r="E30" s="11" t="s">
        <v>4</v>
      </c>
      <c r="F30" s="5"/>
    </row>
    <row r="31" spans="1:6">
      <c r="A31" s="5" t="s">
        <v>13</v>
      </c>
      <c r="B31" s="5"/>
      <c r="C31" s="5" t="s">
        <v>24</v>
      </c>
      <c r="D31" s="5"/>
      <c r="E31" s="5"/>
      <c r="F31" s="5"/>
    </row>
    <row r="32" spans="1:6">
      <c r="A32" s="5"/>
      <c r="B32" s="5"/>
      <c r="C32" s="5"/>
      <c r="D32" s="5"/>
      <c r="E32" s="5"/>
      <c r="F32" s="5"/>
    </row>
    <row r="33" spans="1:6">
      <c r="A33" s="9"/>
      <c r="B33" s="9"/>
      <c r="C33" s="9"/>
      <c r="D33" s="9"/>
      <c r="E33" s="9"/>
      <c r="F33" s="5"/>
    </row>
    <row r="34" spans="1:6">
      <c r="A34" s="5"/>
      <c r="B34" s="10"/>
      <c r="C34" s="5"/>
      <c r="D34" s="5"/>
      <c r="E34" s="5"/>
      <c r="F34" s="5"/>
    </row>
    <row r="35" spans="1:6">
      <c r="A35" s="11" t="s">
        <v>0</v>
      </c>
      <c r="B35" s="11" t="s">
        <v>1</v>
      </c>
      <c r="C35" s="11" t="s">
        <v>2</v>
      </c>
      <c r="D35" s="11" t="s">
        <v>3</v>
      </c>
      <c r="E35" s="11" t="s">
        <v>4</v>
      </c>
      <c r="F35" s="5"/>
    </row>
    <row r="36" spans="1:6">
      <c r="A36" s="5"/>
      <c r="B36" s="10" t="s">
        <v>14</v>
      </c>
      <c r="C36" s="5"/>
      <c r="D36" s="5"/>
      <c r="E36" s="5"/>
      <c r="F36" s="5"/>
    </row>
    <row r="37" spans="1:6">
      <c r="A37" s="5"/>
      <c r="B37" s="5"/>
      <c r="C37" s="5"/>
      <c r="D37" s="5"/>
      <c r="E37" s="5"/>
      <c r="F37" s="5"/>
    </row>
    <row r="38" spans="1:6">
      <c r="A38" s="5"/>
      <c r="B38" s="5"/>
      <c r="C38" s="5"/>
      <c r="D38" s="5"/>
      <c r="E38" s="5"/>
      <c r="F38" s="5"/>
    </row>
    <row r="39" spans="1:6">
      <c r="A39" s="5"/>
      <c r="B39" s="5"/>
      <c r="C39" s="5"/>
      <c r="D39" s="5"/>
      <c r="E39" s="5"/>
      <c r="F39" s="5"/>
    </row>
    <row r="40" spans="1:6">
      <c r="A40" s="11" t="s">
        <v>0</v>
      </c>
      <c r="B40" s="11" t="s">
        <v>1</v>
      </c>
      <c r="C40" s="11" t="s">
        <v>2</v>
      </c>
      <c r="D40" s="11" t="s">
        <v>3</v>
      </c>
      <c r="E40" s="11" t="s">
        <v>4</v>
      </c>
      <c r="F40" s="11" t="s">
        <v>2</v>
      </c>
    </row>
    <row r="41" spans="1:6">
      <c r="A41" s="5"/>
      <c r="B41" s="5"/>
      <c r="C41" s="5" t="s">
        <v>25</v>
      </c>
      <c r="D41" s="5"/>
      <c r="E41" s="5"/>
      <c r="F41" s="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E12" sqref="E12"/>
    </sheetView>
  </sheetViews>
  <sheetFormatPr baseColWidth="10" defaultColWidth="9.140625" defaultRowHeight="15"/>
  <cols>
    <col min="2" max="2" width="26.140625" customWidth="1"/>
    <col min="3" max="3" width="10.5703125" customWidth="1"/>
    <col min="4" max="4" width="11.85546875" customWidth="1"/>
    <col min="5" max="5" width="8.42578125" customWidth="1"/>
  </cols>
  <sheetData>
    <row r="1" spans="1: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>
      <c r="A2" s="1" t="s">
        <v>7</v>
      </c>
      <c r="B2" s="2" t="s">
        <v>22</v>
      </c>
      <c r="C2" s="2">
        <v>2</v>
      </c>
      <c r="D2" s="7">
        <v>2400</v>
      </c>
      <c r="E2" s="7">
        <f t="shared" ref="E2:E15" si="0">PRODUCT(C2,D2)</f>
        <v>4800</v>
      </c>
    </row>
    <row r="3" spans="1:5">
      <c r="A3" s="3" t="s">
        <v>7</v>
      </c>
      <c r="B3" s="4" t="s">
        <v>8</v>
      </c>
      <c r="C3" s="4">
        <v>10</v>
      </c>
      <c r="D3" s="8">
        <v>4800</v>
      </c>
      <c r="E3" s="7">
        <f t="shared" si="0"/>
        <v>48000</v>
      </c>
    </row>
    <row r="4" spans="1:5">
      <c r="A4" s="3" t="s">
        <v>7</v>
      </c>
      <c r="B4" s="4" t="s">
        <v>17</v>
      </c>
      <c r="C4" s="4">
        <v>2</v>
      </c>
      <c r="D4" s="8">
        <v>9400</v>
      </c>
      <c r="E4" s="7">
        <f t="shared" si="0"/>
        <v>18800</v>
      </c>
    </row>
    <row r="5" spans="1:5">
      <c r="A5" s="3" t="s">
        <v>10</v>
      </c>
      <c r="B5" s="4" t="s">
        <v>12</v>
      </c>
      <c r="C5" s="4">
        <v>4</v>
      </c>
      <c r="D5" s="8">
        <v>5000</v>
      </c>
      <c r="E5" s="7">
        <f t="shared" si="0"/>
        <v>20000</v>
      </c>
    </row>
    <row r="6" spans="1:5">
      <c r="A6" s="3" t="s">
        <v>10</v>
      </c>
      <c r="B6" s="4" t="s">
        <v>11</v>
      </c>
      <c r="C6" s="4">
        <v>7</v>
      </c>
      <c r="D6" s="8">
        <v>8500</v>
      </c>
      <c r="E6" s="7">
        <f t="shared" si="0"/>
        <v>59500</v>
      </c>
    </row>
    <row r="7" spans="1:5">
      <c r="A7" s="3" t="s">
        <v>13</v>
      </c>
      <c r="B7" s="4" t="s">
        <v>16</v>
      </c>
      <c r="C7" s="4">
        <v>5</v>
      </c>
      <c r="D7" s="8">
        <v>1200</v>
      </c>
      <c r="E7" s="7">
        <f t="shared" si="0"/>
        <v>6000</v>
      </c>
    </row>
    <row r="8" spans="1:5">
      <c r="A8" s="3" t="s">
        <v>13</v>
      </c>
      <c r="B8" s="4" t="s">
        <v>15</v>
      </c>
      <c r="C8" s="4">
        <v>3</v>
      </c>
      <c r="D8" s="8">
        <v>2600</v>
      </c>
      <c r="E8" s="7">
        <f t="shared" si="0"/>
        <v>7800</v>
      </c>
    </row>
    <row r="9" spans="1:5">
      <c r="A9" s="3" t="s">
        <v>13</v>
      </c>
      <c r="B9" s="4" t="s">
        <v>14</v>
      </c>
      <c r="C9" s="4">
        <v>4</v>
      </c>
      <c r="D9" s="8">
        <v>1800</v>
      </c>
      <c r="E9" s="7">
        <f t="shared" si="0"/>
        <v>7200</v>
      </c>
    </row>
    <row r="10" spans="1:5">
      <c r="A10" s="3" t="s">
        <v>5</v>
      </c>
      <c r="B10" s="4" t="s">
        <v>6</v>
      </c>
      <c r="C10" s="4">
        <v>12</v>
      </c>
      <c r="D10" s="8">
        <v>6500</v>
      </c>
      <c r="E10" s="7">
        <f t="shared" si="0"/>
        <v>78000</v>
      </c>
    </row>
    <row r="11" spans="1:5">
      <c r="A11" s="3" t="s">
        <v>5</v>
      </c>
      <c r="B11" s="4" t="s">
        <v>9</v>
      </c>
      <c r="C11" s="4">
        <v>8</v>
      </c>
      <c r="D11" s="8">
        <v>7800</v>
      </c>
      <c r="E11" s="7">
        <f t="shared" si="0"/>
        <v>62400</v>
      </c>
    </row>
    <row r="12" spans="1:5">
      <c r="A12" s="3" t="s">
        <v>5</v>
      </c>
      <c r="B12" s="4" t="s">
        <v>18</v>
      </c>
      <c r="C12" s="4">
        <v>8</v>
      </c>
      <c r="D12" s="8">
        <v>12000</v>
      </c>
      <c r="E12" s="7">
        <f t="shared" si="0"/>
        <v>96000</v>
      </c>
    </row>
    <row r="13" spans="1:5">
      <c r="A13" s="3" t="s">
        <v>5</v>
      </c>
      <c r="B13" s="4" t="s">
        <v>23</v>
      </c>
      <c r="C13" s="4">
        <v>1</v>
      </c>
      <c r="D13" s="8">
        <v>1800</v>
      </c>
      <c r="E13" s="7">
        <f t="shared" si="0"/>
        <v>1800</v>
      </c>
    </row>
    <row r="14" spans="1:5">
      <c r="A14" s="3" t="s">
        <v>19</v>
      </c>
      <c r="B14" s="4" t="s">
        <v>21</v>
      </c>
      <c r="C14" s="4">
        <v>6</v>
      </c>
      <c r="D14" s="8">
        <v>6500</v>
      </c>
      <c r="E14" s="7">
        <f t="shared" si="0"/>
        <v>39000</v>
      </c>
    </row>
    <row r="15" spans="1:5">
      <c r="A15" s="3" t="s">
        <v>19</v>
      </c>
      <c r="B15" s="4" t="s">
        <v>20</v>
      </c>
      <c r="C15" s="4">
        <v>6</v>
      </c>
      <c r="D15" s="8">
        <v>2500</v>
      </c>
      <c r="E15" s="7">
        <f t="shared" si="0"/>
        <v>15000</v>
      </c>
    </row>
  </sheetData>
  <sortState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B20" sqref="B20"/>
    </sheetView>
  </sheetViews>
  <sheetFormatPr baseColWidth="10" defaultColWidth="9.140625" defaultRowHeight="15"/>
  <cols>
    <col min="1" max="1" width="19.42578125" bestFit="1" customWidth="1"/>
    <col min="2" max="2" width="26.7109375" customWidth="1"/>
    <col min="3" max="3" width="11.5703125" customWidth="1"/>
    <col min="4" max="5" width="12.28515625" customWidth="1"/>
  </cols>
  <sheetData>
    <row r="1" spans="1: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>
      <c r="A2" s="1" t="s">
        <v>5</v>
      </c>
      <c r="B2" s="2" t="s">
        <v>6</v>
      </c>
      <c r="C2" s="2">
        <v>12</v>
      </c>
      <c r="D2" s="7">
        <v>6500</v>
      </c>
      <c r="E2" s="7">
        <f>PRODUCT(C2,D2)</f>
        <v>78000</v>
      </c>
    </row>
    <row r="3" spans="1:5">
      <c r="A3" s="3" t="s">
        <v>7</v>
      </c>
      <c r="B3" s="4" t="s">
        <v>8</v>
      </c>
      <c r="C3" s="4">
        <v>10</v>
      </c>
      <c r="D3" s="8">
        <v>4800</v>
      </c>
      <c r="E3" s="7">
        <f t="shared" ref="E3:E15" si="0">PRODUCT(C3,D3)</f>
        <v>48000</v>
      </c>
    </row>
    <row r="4" spans="1:5">
      <c r="A4" s="3" t="s">
        <v>5</v>
      </c>
      <c r="B4" s="4" t="s">
        <v>9</v>
      </c>
      <c r="C4" s="4">
        <v>8</v>
      </c>
      <c r="D4" s="8">
        <v>7800</v>
      </c>
      <c r="E4" s="7">
        <f t="shared" si="0"/>
        <v>62400</v>
      </c>
    </row>
    <row r="5" spans="1:5">
      <c r="A5" s="3" t="s">
        <v>10</v>
      </c>
      <c r="B5" s="4" t="s">
        <v>11</v>
      </c>
      <c r="C5" s="4">
        <v>7</v>
      </c>
      <c r="D5" s="8">
        <v>8500</v>
      </c>
      <c r="E5" s="7">
        <f t="shared" si="0"/>
        <v>59500</v>
      </c>
    </row>
    <row r="6" spans="1:5">
      <c r="A6" s="3" t="s">
        <v>10</v>
      </c>
      <c r="B6" s="4" t="s">
        <v>12</v>
      </c>
      <c r="C6" s="4">
        <v>4</v>
      </c>
      <c r="D6" s="8">
        <v>5000</v>
      </c>
      <c r="E6" s="7">
        <f t="shared" si="0"/>
        <v>20000</v>
      </c>
    </row>
    <row r="7" spans="1:5">
      <c r="A7" s="3" t="s">
        <v>13</v>
      </c>
      <c r="B7" s="4" t="s">
        <v>14</v>
      </c>
      <c r="C7" s="4">
        <v>4</v>
      </c>
      <c r="D7" s="8">
        <v>1800</v>
      </c>
      <c r="E7" s="7">
        <f t="shared" si="0"/>
        <v>7200</v>
      </c>
    </row>
    <row r="8" spans="1:5">
      <c r="A8" s="3" t="s">
        <v>13</v>
      </c>
      <c r="B8" s="4" t="s">
        <v>15</v>
      </c>
      <c r="C8" s="4">
        <v>3</v>
      </c>
      <c r="D8" s="8">
        <v>2600</v>
      </c>
      <c r="E8" s="7">
        <f t="shared" si="0"/>
        <v>7800</v>
      </c>
    </row>
    <row r="9" spans="1:5">
      <c r="A9" s="3" t="s">
        <v>13</v>
      </c>
      <c r="B9" s="4" t="s">
        <v>16</v>
      </c>
      <c r="C9" s="4">
        <v>5</v>
      </c>
      <c r="D9" s="8">
        <v>1200</v>
      </c>
      <c r="E9" s="7">
        <f t="shared" si="0"/>
        <v>6000</v>
      </c>
    </row>
    <row r="10" spans="1:5">
      <c r="A10" s="3" t="s">
        <v>7</v>
      </c>
      <c r="B10" s="4" t="s">
        <v>17</v>
      </c>
      <c r="C10" s="4">
        <v>2</v>
      </c>
      <c r="D10" s="8">
        <v>9400</v>
      </c>
      <c r="E10" s="7">
        <f t="shared" si="0"/>
        <v>18800</v>
      </c>
    </row>
    <row r="11" spans="1:5">
      <c r="A11" s="3" t="s">
        <v>5</v>
      </c>
      <c r="B11" s="4" t="s">
        <v>18</v>
      </c>
      <c r="C11" s="4">
        <v>8</v>
      </c>
      <c r="D11" s="8">
        <v>12000</v>
      </c>
      <c r="E11" s="7">
        <f t="shared" si="0"/>
        <v>96000</v>
      </c>
    </row>
    <row r="12" spans="1:5">
      <c r="A12" s="3" t="s">
        <v>19</v>
      </c>
      <c r="B12" s="4" t="s">
        <v>20</v>
      </c>
      <c r="C12" s="4">
        <v>6</v>
      </c>
      <c r="D12" s="8">
        <v>2500</v>
      </c>
      <c r="E12" s="7">
        <f t="shared" si="0"/>
        <v>15000</v>
      </c>
    </row>
    <row r="13" spans="1:5">
      <c r="A13" s="3" t="s">
        <v>19</v>
      </c>
      <c r="B13" s="4" t="s">
        <v>21</v>
      </c>
      <c r="C13" s="4">
        <v>6</v>
      </c>
      <c r="D13" s="8">
        <v>6500</v>
      </c>
      <c r="E13" s="7">
        <f t="shared" si="0"/>
        <v>39000</v>
      </c>
    </row>
    <row r="14" spans="1:5">
      <c r="A14" s="3" t="s">
        <v>7</v>
      </c>
      <c r="B14" s="4" t="s">
        <v>22</v>
      </c>
      <c r="C14" s="4">
        <v>2</v>
      </c>
      <c r="D14" s="8">
        <v>2400</v>
      </c>
      <c r="E14" s="7">
        <f t="shared" si="0"/>
        <v>4800</v>
      </c>
    </row>
    <row r="15" spans="1:5">
      <c r="A15" s="3" t="s">
        <v>5</v>
      </c>
      <c r="B15" s="4" t="s">
        <v>23</v>
      </c>
      <c r="C15" s="4">
        <v>1</v>
      </c>
      <c r="D15" s="8">
        <v>1800</v>
      </c>
      <c r="E15" s="7">
        <f t="shared" si="0"/>
        <v>1800</v>
      </c>
    </row>
    <row r="18" spans="1:2">
      <c r="A18" s="12" t="s">
        <v>27</v>
      </c>
      <c r="B18" s="5">
        <f>SUMIFS(E2:E15,A2:A15,"C",C2:C15,"&lt;10")</f>
        <v>23600</v>
      </c>
    </row>
    <row r="19" spans="1:2">
      <c r="A19" s="12" t="s">
        <v>28</v>
      </c>
      <c r="B19" s="5">
        <f>COUNTIFS(A2:A15,"R",D2:D15,"&gt;2000",C2:C15,"&lt;4")</f>
        <v>1</v>
      </c>
    </row>
    <row r="20" spans="1:2">
      <c r="A20" s="12" t="s">
        <v>29</v>
      </c>
      <c r="B20" s="5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Martina Garcia</dc:creator>
  <cp:keywords/>
  <dc:description/>
  <cp:lastModifiedBy>User</cp:lastModifiedBy>
  <cp:revision/>
  <dcterms:created xsi:type="dcterms:W3CDTF">2026-02-07T18:20:58Z</dcterms:created>
  <dcterms:modified xsi:type="dcterms:W3CDTF">2026-02-07T18:49:35Z</dcterms:modified>
  <cp:category/>
  <cp:contentStatus/>
</cp:coreProperties>
</file>