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0A2A439-8163-45E6-A82F-55599FF68E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8" i="1"/>
  <c r="E12" i="1"/>
  <c r="E13" i="1"/>
  <c r="E9" i="1"/>
  <c r="E3" i="1"/>
  <c r="E7" i="1"/>
  <c r="E2" i="1"/>
  <c r="A18" i="1" s="1"/>
  <c r="E14" i="1"/>
  <c r="E15" i="1"/>
  <c r="E6" i="1"/>
  <c r="E11" i="1"/>
  <c r="E5" i="1"/>
  <c r="E4" i="1"/>
  <c r="E10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<sst xmlns="http://schemas.openxmlformats.org/spreadsheetml/2006/main" count="129" uniqueCount="30">
  <si>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</si>
  <si>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</si>
  <si>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</si>
  <si>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</si>
  <si>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</si>
  <si>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</si>
  <si>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</si>
  <si>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</si>
  <si>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</si>
  <si>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</si>
  <si>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</si>
  <si>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</si>
  <si>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</si>
  <si>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</si>
  <si>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</si>
  <si>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</si>
  <si>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</si>
  <si>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</si>
  <si>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</si>
  <si>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</si>
  <si>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</si>
  <si>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</si>
  <si>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</si>
  <si>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</si>
  <si>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&gt;=5</t>
  </si>
  <si>
    <t>&gt;4</t>
  </si>
  <si>
    <t>&lt;9</t>
  </si>
  <si>
    <t>Importe Total</t>
  </si>
  <si>
    <t xml:space="preserve">Contar Productos </t>
  </si>
  <si>
    <t xml:space="preserve">Promedio del importe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</si>
</sst>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3" workbookViewId="0">
      <selection activeCell="H28" sqref="H28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2.14062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5" t="s">
        <v>6</v>
      </c>
      <c r="C2" s="5">
        <v>5</v>
      </c>
      <c r="D2" s="7">
        <v>1200</v>
      </c>
      <c r="E2" s="7">
        <f>PRODUCT(C2*D2)</f>
        <v>6000</v>
      </c>
    </row>
    <row r="3" spans="1:5">
      <c r="A3" s="5" t="s">
        <v>5</v>
      </c>
      <c r="B3" s="5" t="s">
        <v>7</v>
      </c>
      <c r="C3" s="5">
        <v>4</v>
      </c>
      <c r="D3" s="7">
        <v>1800</v>
      </c>
      <c r="E3" s="7">
        <f>PRODUCT(C3*D3)</f>
        <v>7200</v>
      </c>
    </row>
    <row r="4" spans="1:5">
      <c r="A4" s="5" t="s">
        <v>8</v>
      </c>
      <c r="B4" s="5" t="s">
        <v>9</v>
      </c>
      <c r="C4" s="5">
        <v>1</v>
      </c>
      <c r="D4" s="7">
        <v>1800</v>
      </c>
      <c r="E4" s="7">
        <f>PRODUCT(C4*D4)</f>
        <v>1800</v>
      </c>
    </row>
    <row r="5" spans="1:5">
      <c r="A5" s="5" t="s">
        <v>10</v>
      </c>
      <c r="B5" s="5" t="s">
        <v>11</v>
      </c>
      <c r="C5" s="5">
        <v>2</v>
      </c>
      <c r="D5" s="7">
        <v>2400</v>
      </c>
      <c r="E5" s="7">
        <f>PRODUCT(C5*D5)</f>
        <v>4800</v>
      </c>
    </row>
    <row r="6" spans="1:5">
      <c r="A6" s="5" t="s">
        <v>12</v>
      </c>
      <c r="B6" s="5" t="s">
        <v>13</v>
      </c>
      <c r="C6" s="5">
        <v>6</v>
      </c>
      <c r="D6" s="7">
        <v>2500</v>
      </c>
      <c r="E6" s="7">
        <f>PRODUCT(C6*D6)</f>
        <v>15000</v>
      </c>
    </row>
    <row r="7" spans="1:5">
      <c r="A7" s="5" t="s">
        <v>5</v>
      </c>
      <c r="B7" s="5" t="s">
        <v>14</v>
      </c>
      <c r="C7" s="5">
        <v>3</v>
      </c>
      <c r="D7" s="7">
        <v>2600</v>
      </c>
      <c r="E7" s="7">
        <f>PRODUCT(C7*D7)</f>
        <v>7800</v>
      </c>
    </row>
    <row r="8" spans="1:5">
      <c r="A8" s="5" t="s">
        <v>10</v>
      </c>
      <c r="B8" s="5" t="s">
        <v>15</v>
      </c>
      <c r="C8" s="5">
        <v>10</v>
      </c>
      <c r="D8" s="7">
        <v>4800</v>
      </c>
      <c r="E8" s="7">
        <f>PRODUCT(C8*D8)</f>
        <v>48000</v>
      </c>
    </row>
    <row r="9" spans="1:5">
      <c r="A9" s="5" t="s">
        <v>16</v>
      </c>
      <c r="B9" s="5" t="s">
        <v>17</v>
      </c>
      <c r="C9" s="5">
        <v>4</v>
      </c>
      <c r="D9" s="7">
        <v>5000</v>
      </c>
      <c r="E9" s="7">
        <f>PRODUCT(C9*D9)</f>
        <v>20000</v>
      </c>
    </row>
    <row r="10" spans="1:5">
      <c r="A10" s="5" t="s">
        <v>8</v>
      </c>
      <c r="B10" s="5" t="s">
        <v>18</v>
      </c>
      <c r="C10" s="5">
        <v>12</v>
      </c>
      <c r="D10" s="6">
        <v>6500</v>
      </c>
      <c r="E10" s="7">
        <f>PRODUCT(C10*D10)</f>
        <v>78000</v>
      </c>
    </row>
    <row r="11" spans="1:5">
      <c r="A11" s="5" t="s">
        <v>12</v>
      </c>
      <c r="B11" s="5" t="s">
        <v>19</v>
      </c>
      <c r="C11" s="5">
        <v>6</v>
      </c>
      <c r="D11" s="7">
        <v>6500</v>
      </c>
      <c r="E11" s="7">
        <f>PRODUCT(C11*D11)</f>
        <v>39000</v>
      </c>
    </row>
    <row r="12" spans="1:5">
      <c r="A12" s="5" t="s">
        <v>8</v>
      </c>
      <c r="B12" s="5" t="s">
        <v>20</v>
      </c>
      <c r="C12" s="5">
        <v>8</v>
      </c>
      <c r="D12" s="7">
        <v>7800</v>
      </c>
      <c r="E12" s="7">
        <f>PRODUCT(C12*D12)</f>
        <v>62400</v>
      </c>
    </row>
    <row r="13" spans="1:5">
      <c r="A13" s="5" t="s">
        <v>16</v>
      </c>
      <c r="B13" s="5" t="s">
        <v>21</v>
      </c>
      <c r="C13" s="5">
        <v>7</v>
      </c>
      <c r="D13" s="7">
        <v>8500</v>
      </c>
      <c r="E13" s="7">
        <f>PRODUCT(C13*D13)</f>
        <v>59500</v>
      </c>
    </row>
    <row r="14" spans="1:5">
      <c r="A14" s="5" t="s">
        <v>10</v>
      </c>
      <c r="B14" s="5" t="s">
        <v>22</v>
      </c>
      <c r="C14" s="5">
        <v>2</v>
      </c>
      <c r="D14" s="7">
        <v>9400</v>
      </c>
      <c r="E14" s="7">
        <f>PRODUCT(C14*D14)</f>
        <v>18800</v>
      </c>
    </row>
    <row r="15" spans="1:5">
      <c r="A15" s="5" t="s">
        <v>8</v>
      </c>
      <c r="B15" s="5" t="s">
        <v>23</v>
      </c>
      <c r="C15" s="5">
        <v>8</v>
      </c>
      <c r="D15" s="7">
        <v>12000</v>
      </c>
      <c r="E15" s="7">
        <f>PRODUCT(C15*D15)</f>
        <v>96000</v>
      </c>
    </row>
    <row r="17" spans="1:5">
      <c r="A17">
        <f>DMAX(A1:E15,D1,A25:E26)</f>
        <v>8500</v>
      </c>
    </row>
    <row r="18" spans="1:5">
      <c r="A18">
        <f>DSUM(A1:E15,E1,A28:E29)</f>
        <v>6000</v>
      </c>
    </row>
    <row r="19" spans="1:5">
      <c r="A19">
        <f>DGET(A1:E15,D1,A31:E32)</f>
        <v>1800</v>
      </c>
    </row>
    <row r="20" spans="1:5">
      <c r="A20">
        <f>DCOUNTA(A1:E15,C1,A34:F35)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16</v>
      </c>
    </row>
    <row r="28" spans="1: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</row>
    <row r="29" spans="1:5">
      <c r="A29" t="s">
        <v>5</v>
      </c>
      <c r="C29" t="s">
        <v>24</v>
      </c>
    </row>
    <row r="31" spans="1: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</row>
    <row r="32" spans="1:5">
      <c r="B32" t="s">
        <v>7</v>
      </c>
      <c r="D32" s="2"/>
    </row>
    <row r="34" spans="1:6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2</v>
      </c>
    </row>
    <row r="35" spans="1:6">
      <c r="C35" t="s">
        <v>25</v>
      </c>
      <c r="F35" t="s">
        <v>26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BA10-CFEA-40F9-AE61-0F053F75771C}">
  <dimension ref="A1:E15"/>
  <sheetViews>
    <sheetView workbookViewId="0">
      <selection activeCell="C22" sqref="C22"/>
    </sheetView>
  </sheetViews>
  <sheetFormatPr defaultRowHeight="15"/>
  <cols>
    <col min="2" max="2" width="27.28515625" customWidth="1"/>
    <col min="3" max="3" width="9.7109375" customWidth="1"/>
    <col min="4" max="5" width="12.1406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10</v>
      </c>
      <c r="B2" s="5" t="s">
        <v>11</v>
      </c>
      <c r="C2" s="5">
        <v>2</v>
      </c>
      <c r="D2" s="7">
        <v>2400</v>
      </c>
      <c r="E2" s="7">
        <f>PRODUCT(C2*D2)</f>
        <v>4800</v>
      </c>
    </row>
    <row r="3" spans="1:5">
      <c r="A3" s="5" t="s">
        <v>10</v>
      </c>
      <c r="B3" s="5" t="s">
        <v>15</v>
      </c>
      <c r="C3" s="5">
        <v>10</v>
      </c>
      <c r="D3" s="7">
        <v>4800</v>
      </c>
      <c r="E3" s="7">
        <f>PRODUCT(C3*D3)</f>
        <v>48000</v>
      </c>
    </row>
    <row r="4" spans="1:5">
      <c r="A4" s="5" t="s">
        <v>10</v>
      </c>
      <c r="B4" s="5" t="s">
        <v>22</v>
      </c>
      <c r="C4" s="5">
        <v>2</v>
      </c>
      <c r="D4" s="7">
        <v>9400</v>
      </c>
      <c r="E4" s="7">
        <f>PRODUCT(C4*D4)</f>
        <v>18800</v>
      </c>
    </row>
    <row r="5" spans="1:5">
      <c r="A5" s="5" t="s">
        <v>16</v>
      </c>
      <c r="B5" s="5" t="s">
        <v>17</v>
      </c>
      <c r="C5" s="5">
        <v>4</v>
      </c>
      <c r="D5" s="7">
        <v>5000</v>
      </c>
      <c r="E5" s="7">
        <f>PRODUCT(C5*D5)</f>
        <v>20000</v>
      </c>
    </row>
    <row r="6" spans="1:5">
      <c r="A6" s="5" t="s">
        <v>16</v>
      </c>
      <c r="B6" s="5" t="s">
        <v>21</v>
      </c>
      <c r="C6" s="5">
        <v>7</v>
      </c>
      <c r="D6" s="7">
        <v>8500</v>
      </c>
      <c r="E6" s="7">
        <f>PRODUCT(C6*D6)</f>
        <v>59500</v>
      </c>
    </row>
    <row r="7" spans="1:5">
      <c r="A7" s="5" t="s">
        <v>5</v>
      </c>
      <c r="B7" s="5" t="s">
        <v>6</v>
      </c>
      <c r="C7" s="5">
        <v>5</v>
      </c>
      <c r="D7" s="7">
        <v>1200</v>
      </c>
      <c r="E7" s="7">
        <f>PRODUCT(C7*D7)</f>
        <v>6000</v>
      </c>
    </row>
    <row r="8" spans="1:5">
      <c r="A8" s="5" t="s">
        <v>5</v>
      </c>
      <c r="B8" s="5" t="s">
        <v>14</v>
      </c>
      <c r="C8" s="5">
        <v>3</v>
      </c>
      <c r="D8" s="7">
        <v>2600</v>
      </c>
      <c r="E8" s="7">
        <f>PRODUCT(C8*D8)</f>
        <v>7800</v>
      </c>
    </row>
    <row r="9" spans="1:5">
      <c r="A9" s="5" t="s">
        <v>5</v>
      </c>
      <c r="B9" s="5" t="s">
        <v>7</v>
      </c>
      <c r="C9" s="5">
        <v>4</v>
      </c>
      <c r="D9" s="7">
        <v>1800</v>
      </c>
      <c r="E9" s="7">
        <f>PRODUCT(C9*D9)</f>
        <v>7200</v>
      </c>
    </row>
    <row r="10" spans="1:5">
      <c r="A10" s="5" t="s">
        <v>8</v>
      </c>
      <c r="B10" s="5" t="s">
        <v>18</v>
      </c>
      <c r="C10" s="5">
        <v>12</v>
      </c>
      <c r="D10" s="6">
        <v>6500</v>
      </c>
      <c r="E10" s="7">
        <f>PRODUCT(C10*D10)</f>
        <v>78000</v>
      </c>
    </row>
    <row r="11" spans="1:5">
      <c r="A11" s="5" t="s">
        <v>8</v>
      </c>
      <c r="B11" s="5" t="s">
        <v>20</v>
      </c>
      <c r="C11" s="5">
        <v>8</v>
      </c>
      <c r="D11" s="7">
        <v>7800</v>
      </c>
      <c r="E11" s="7">
        <f>PRODUCT(C11*D11)</f>
        <v>62400</v>
      </c>
    </row>
    <row r="12" spans="1:5">
      <c r="A12" s="5" t="s">
        <v>8</v>
      </c>
      <c r="B12" s="5" t="s">
        <v>23</v>
      </c>
      <c r="C12" s="5">
        <v>8</v>
      </c>
      <c r="D12" s="7">
        <v>12000</v>
      </c>
      <c r="E12" s="7">
        <f>PRODUCT(C12*D12)</f>
        <v>96000</v>
      </c>
    </row>
    <row r="13" spans="1:5">
      <c r="A13" s="5" t="s">
        <v>8</v>
      </c>
      <c r="B13" s="5" t="s">
        <v>9</v>
      </c>
      <c r="C13" s="5">
        <v>1</v>
      </c>
      <c r="D13" s="7">
        <v>1800</v>
      </c>
      <c r="E13" s="7">
        <f>PRODUCT(C13*D13)</f>
        <v>1800</v>
      </c>
    </row>
    <row r="14" spans="1:5">
      <c r="A14" s="5" t="s">
        <v>12</v>
      </c>
      <c r="B14" s="5" t="s">
        <v>19</v>
      </c>
      <c r="C14" s="5">
        <v>6</v>
      </c>
      <c r="D14" s="7">
        <v>6500</v>
      </c>
      <c r="E14" s="7">
        <f>PRODUCT(C14*D14)</f>
        <v>39000</v>
      </c>
    </row>
    <row r="15" spans="1:5">
      <c r="A15" s="5" t="s">
        <v>12</v>
      </c>
      <c r="B15" s="5" t="s">
        <v>13</v>
      </c>
      <c r="C15" s="5">
        <v>6</v>
      </c>
      <c r="D15" s="7">
        <v>2500</v>
      </c>
      <c r="E15" s="7">
        <f>PRODUCT(C15*D15)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30A9-A3A5-457A-9AF9-B165A2C06E77}">
  <dimension ref="A1:E20"/>
  <sheetViews>
    <sheetView workbookViewId="0">
      <selection activeCell="I13" sqref="I13"/>
    </sheetView>
  </sheetViews>
  <sheetFormatPr defaultRowHeight="15"/>
  <cols>
    <col min="1" max="1" width="20.42578125" bestFit="1" customWidth="1"/>
    <col min="2" max="2" width="26.1406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8</v>
      </c>
      <c r="B2" s="5" t="s">
        <v>18</v>
      </c>
      <c r="C2" s="5">
        <v>12</v>
      </c>
      <c r="D2" s="6">
        <v>6500</v>
      </c>
      <c r="E2" s="7">
        <f>PRODUCT(C2*D2)</f>
        <v>78000</v>
      </c>
    </row>
    <row r="3" spans="1:5">
      <c r="A3" s="5" t="s">
        <v>10</v>
      </c>
      <c r="B3" s="5" t="s">
        <v>15</v>
      </c>
      <c r="C3" s="5">
        <v>10</v>
      </c>
      <c r="D3" s="7">
        <v>4800</v>
      </c>
      <c r="E3" s="7">
        <f t="shared" ref="E3:E15" si="0">PRODUCT(C3*D3)</f>
        <v>48000</v>
      </c>
    </row>
    <row r="4" spans="1:5">
      <c r="A4" s="5" t="s">
        <v>8</v>
      </c>
      <c r="B4" s="5" t="s">
        <v>20</v>
      </c>
      <c r="C4" s="5">
        <v>8</v>
      </c>
      <c r="D4" s="7">
        <v>7800</v>
      </c>
      <c r="E4" s="7">
        <f t="shared" si="0"/>
        <v>62400</v>
      </c>
    </row>
    <row r="5" spans="1:5">
      <c r="A5" s="5" t="s">
        <v>16</v>
      </c>
      <c r="B5" s="5" t="s">
        <v>21</v>
      </c>
      <c r="C5" s="5">
        <v>7</v>
      </c>
      <c r="D5" s="7">
        <v>8500</v>
      </c>
      <c r="E5" s="7">
        <f t="shared" si="0"/>
        <v>59500</v>
      </c>
    </row>
    <row r="6" spans="1:5">
      <c r="A6" s="5" t="s">
        <v>16</v>
      </c>
      <c r="B6" s="5" t="s">
        <v>17</v>
      </c>
      <c r="C6" s="5">
        <v>4</v>
      </c>
      <c r="D6" s="7">
        <v>5000</v>
      </c>
      <c r="E6" s="7">
        <f t="shared" si="0"/>
        <v>20000</v>
      </c>
    </row>
    <row r="7" spans="1:5">
      <c r="A7" s="5" t="s">
        <v>5</v>
      </c>
      <c r="B7" s="5" t="s">
        <v>7</v>
      </c>
      <c r="C7" s="5">
        <v>4</v>
      </c>
      <c r="D7" s="7">
        <v>1800</v>
      </c>
      <c r="E7" s="7">
        <f t="shared" si="0"/>
        <v>7200</v>
      </c>
    </row>
    <row r="8" spans="1:5">
      <c r="A8" s="5" t="s">
        <v>5</v>
      </c>
      <c r="B8" s="5" t="s">
        <v>14</v>
      </c>
      <c r="C8" s="5">
        <v>3</v>
      </c>
      <c r="D8" s="7">
        <v>2600</v>
      </c>
      <c r="E8" s="7">
        <f t="shared" si="0"/>
        <v>7800</v>
      </c>
    </row>
    <row r="9" spans="1:5">
      <c r="A9" s="5" t="s">
        <v>5</v>
      </c>
      <c r="B9" s="5" t="s">
        <v>6</v>
      </c>
      <c r="C9" s="5">
        <v>5</v>
      </c>
      <c r="D9" s="7">
        <v>1200</v>
      </c>
      <c r="E9" s="7">
        <f t="shared" si="0"/>
        <v>6000</v>
      </c>
    </row>
    <row r="10" spans="1:5">
      <c r="A10" s="5" t="s">
        <v>10</v>
      </c>
      <c r="B10" s="5" t="s">
        <v>22</v>
      </c>
      <c r="C10" s="5">
        <v>2</v>
      </c>
      <c r="D10" s="7">
        <v>9400</v>
      </c>
      <c r="E10" s="7">
        <f t="shared" si="0"/>
        <v>18800</v>
      </c>
    </row>
    <row r="11" spans="1:5">
      <c r="A11" s="5" t="s">
        <v>8</v>
      </c>
      <c r="B11" s="5" t="s">
        <v>23</v>
      </c>
      <c r="C11" s="5">
        <v>8</v>
      </c>
      <c r="D11" s="7">
        <v>12000</v>
      </c>
      <c r="E11" s="7">
        <f t="shared" si="0"/>
        <v>96000</v>
      </c>
    </row>
    <row r="12" spans="1:5">
      <c r="A12" s="5" t="s">
        <v>12</v>
      </c>
      <c r="B12" s="5" t="s">
        <v>13</v>
      </c>
      <c r="C12" s="5">
        <v>6</v>
      </c>
      <c r="D12" s="7">
        <v>2500</v>
      </c>
      <c r="E12" s="7">
        <f t="shared" si="0"/>
        <v>15000</v>
      </c>
    </row>
    <row r="13" spans="1:5">
      <c r="A13" s="5" t="s">
        <v>12</v>
      </c>
      <c r="B13" s="5" t="s">
        <v>19</v>
      </c>
      <c r="C13" s="5">
        <v>6</v>
      </c>
      <c r="D13" s="7">
        <v>6500</v>
      </c>
      <c r="E13" s="7">
        <f t="shared" si="0"/>
        <v>39000</v>
      </c>
    </row>
    <row r="14" spans="1:5">
      <c r="A14" s="5" t="s">
        <v>10</v>
      </c>
      <c r="B14" s="5" t="s">
        <v>11</v>
      </c>
      <c r="C14" s="5">
        <v>2</v>
      </c>
      <c r="D14" s="7">
        <v>2400</v>
      </c>
      <c r="E14" s="7">
        <f t="shared" si="0"/>
        <v>4800</v>
      </c>
    </row>
    <row r="15" spans="1:5">
      <c r="A15" s="5" t="s">
        <v>8</v>
      </c>
      <c r="B15" s="5" t="s">
        <v>9</v>
      </c>
      <c r="C15" s="5">
        <v>1</v>
      </c>
      <c r="D15" s="7">
        <v>1800</v>
      </c>
      <c r="E15" s="7">
        <f t="shared" si="0"/>
        <v>1800</v>
      </c>
    </row>
    <row r="18" spans="1:2">
      <c r="A18" s="3" t="s">
        <v>27</v>
      </c>
      <c r="B18">
        <f>SUMIFS(E2:E15,A2:A15,"C",C2:C15,"&lt;10")</f>
        <v>23600</v>
      </c>
    </row>
    <row r="19" spans="1:2">
      <c r="A19" s="3" t="s">
        <v>28</v>
      </c>
      <c r="B19">
        <f>COUNTIFS(A2:A15,"R",D2:D15,"&gt;2000",C2:C15,"&lt;4")</f>
        <v>1</v>
      </c>
    </row>
    <row r="20" spans="1:2">
      <c r="A20" s="3" t="s">
        <v>29</v>
      </c>
      <c r="B20">
        <f>AVERAGEIFS(E2:E15,A2:A15,"T",D2:D15,"&lt;12000")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2026-02-09T21:40:53Z</dcterms:created>
  <dcterms:modified xsi:type="dcterms:W3CDTF">2026-02-19T00:02:12Z</dcterms:modified>
  <cp:category/>
  <cp:contentStatus/>
</cp:coreProperties>
</file>