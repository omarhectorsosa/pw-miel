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0CFC07A3-C08C-4DE8-B3FC-7279AFC9A6E2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E4" i="3"/>
  <c r="E5" i="3"/>
  <c r="E11" i="3"/>
  <c r="E6" i="3"/>
  <c r="E15" i="3"/>
  <c r="E14" i="3"/>
  <c r="E2" i="3"/>
  <c r="E7" i="3"/>
  <c r="E3" i="3"/>
  <c r="E9" i="3"/>
  <c r="E13" i="3"/>
  <c r="E12" i="3"/>
  <c r="E8" i="3"/>
  <c r="E10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7" i="1"/>
  <c r="E8" i="1"/>
  <c r="E12" i="1"/>
  <c r="E13" i="1"/>
  <c r="E9" i="1"/>
  <c r="E3" i="1"/>
  <c r="E7" i="1"/>
  <c r="E2" i="1"/>
  <c r="A18" i="1" s="1"/>
  <c r="E14" i="1"/>
  <c r="E15" i="1"/>
  <c r="E6" i="1"/>
  <c r="E11" i="1"/>
  <c r="E5" i="1"/>
  <c r="E4" i="1"/>
  <c r="E10" i="1"/>
  <c r="B18" i="3" l="1"/>
  <c r="B20" i="3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<sst xmlns="http://schemas.openxmlformats.org/spreadsheetml/2006/main" count="129" uniqueCount="30">
  <si>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</si>
  <si>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</si>
  <si>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</si>
  <si>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</si>
  <si>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</si>
  <si>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</si>
  <si>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</si>
  <si>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</si>
  <si>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</si>
  <si>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</si>
  <si>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</si>
  <si>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</si>
  <si>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</si>
  <si>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</si>
  <si>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</si>
  <si>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Cocina 4 hornallas</t>
  </si>
  <si>
    <t>H</t>
  </si>
  <si>
    <t>Freezer carga superior</t>
  </si>
  <si>
    <t>Televisor 32"</t>
  </si>
  <si>
    <t>Aire acondicionado F/C</t>
  </si>
  <si>
    <t>Televisor 42" LED</t>
  </si>
  <si>
    <t>Heladera 12 pies, con freezer</t>
  </si>
  <si>
    <t>Cocina industrial 6 hornallas</t>
  </si>
  <si>
    <t>Televisor 42" LED 3D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</si>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</sst>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>
      <selection activeCell="A40" sqref="A40:F40"/>
    </sheetView>
  </sheetViews>
  <sheetFormatPr defaultRowHeight="15"/>
  <cols>
    <col min="1" max="1" width="26.7109375" bestFit="1" customWidth="1"/>
    <col min="2" max="2" width="26.28515625" bestFit="1" customWidth="1"/>
    <col min="3" max="3" width="10.140625" bestFit="1" customWidth="1"/>
    <col min="4" max="4" width="12.7109375" bestFit="1" customWidth="1"/>
    <col min="5" max="5" width="18.42578125" bestFit="1" customWidth="1"/>
    <col min="6" max="6" width="10.140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>
        <v>5</v>
      </c>
      <c r="D2" s="4">
        <v>1200</v>
      </c>
      <c r="E2" s="4">
        <f>PRODUCT(C2:D2)</f>
        <v>6000</v>
      </c>
    </row>
    <row r="3" spans="1:5">
      <c r="A3" s="3" t="s">
        <v>5</v>
      </c>
      <c r="B3" s="3" t="s">
        <v>7</v>
      </c>
      <c r="C3" s="3">
        <v>4</v>
      </c>
      <c r="D3" s="4">
        <v>1800</v>
      </c>
      <c r="E3" s="4">
        <f>PRODUCT(C3:D3)</f>
        <v>7200</v>
      </c>
    </row>
    <row r="4" spans="1:5">
      <c r="A4" s="3" t="s">
        <v>8</v>
      </c>
      <c r="B4" s="3" t="s">
        <v>9</v>
      </c>
      <c r="C4" s="3">
        <v>1</v>
      </c>
      <c r="D4" s="4">
        <v>1800</v>
      </c>
      <c r="E4" s="4">
        <f>PRODUCT(C4:D4)</f>
        <v>1800</v>
      </c>
    </row>
    <row r="5" spans="1:5">
      <c r="A5" s="3" t="s">
        <v>10</v>
      </c>
      <c r="B5" s="3" t="s">
        <v>11</v>
      </c>
      <c r="C5" s="3">
        <v>2</v>
      </c>
      <c r="D5" s="4">
        <v>2400</v>
      </c>
      <c r="E5" s="4">
        <f>PRODUCT(C5:D5)</f>
        <v>4800</v>
      </c>
    </row>
    <row r="6" spans="1:5">
      <c r="A6" s="3" t="s">
        <v>12</v>
      </c>
      <c r="B6" s="3" t="s">
        <v>13</v>
      </c>
      <c r="C6" s="3">
        <v>6</v>
      </c>
      <c r="D6" s="4">
        <v>2500</v>
      </c>
      <c r="E6" s="4">
        <f>PRODUCT(C6:D6)</f>
        <v>15000</v>
      </c>
    </row>
    <row r="7" spans="1:5">
      <c r="A7" s="3" t="s">
        <v>5</v>
      </c>
      <c r="B7" s="3" t="s">
        <v>14</v>
      </c>
      <c r="C7" s="3">
        <v>3</v>
      </c>
      <c r="D7" s="4">
        <v>2600</v>
      </c>
      <c r="E7" s="4">
        <f>PRODUCT(C7:D7)</f>
        <v>7800</v>
      </c>
    </row>
    <row r="8" spans="1:5">
      <c r="A8" s="3" t="s">
        <v>10</v>
      </c>
      <c r="B8" s="3" t="s">
        <v>15</v>
      </c>
      <c r="C8" s="3">
        <v>10</v>
      </c>
      <c r="D8" s="4">
        <v>4800</v>
      </c>
      <c r="E8" s="4">
        <f>PRODUCT(C8:D8)</f>
        <v>48000</v>
      </c>
    </row>
    <row r="9" spans="1:5">
      <c r="A9" s="3" t="s">
        <v>16</v>
      </c>
      <c r="B9" s="3" t="s">
        <v>17</v>
      </c>
      <c r="C9" s="3">
        <v>4</v>
      </c>
      <c r="D9" s="4">
        <v>5000</v>
      </c>
      <c r="E9" s="4">
        <f>PRODUCT(C9:D9)</f>
        <v>20000</v>
      </c>
    </row>
    <row r="10" spans="1:5">
      <c r="A10" s="3" t="s">
        <v>8</v>
      </c>
      <c r="B10" s="3" t="s">
        <v>18</v>
      </c>
      <c r="C10" s="3">
        <v>12</v>
      </c>
      <c r="D10" s="4">
        <v>6500</v>
      </c>
      <c r="E10" s="4">
        <f>PRODUCT(C10:D10)</f>
        <v>78000</v>
      </c>
    </row>
    <row r="11" spans="1:5">
      <c r="A11" s="3" t="s">
        <v>12</v>
      </c>
      <c r="B11" s="3" t="s">
        <v>19</v>
      </c>
      <c r="C11" s="3">
        <v>6</v>
      </c>
      <c r="D11" s="4">
        <v>6500</v>
      </c>
      <c r="E11" s="4">
        <f>PRODUCT(C11:D11)</f>
        <v>39000</v>
      </c>
    </row>
    <row r="12" spans="1:5">
      <c r="A12" s="3" t="s">
        <v>8</v>
      </c>
      <c r="B12" s="3" t="s">
        <v>20</v>
      </c>
      <c r="C12" s="3">
        <v>8</v>
      </c>
      <c r="D12" s="4">
        <v>7800</v>
      </c>
      <c r="E12" s="4">
        <f>PRODUCT(C12:D12)</f>
        <v>62400</v>
      </c>
    </row>
    <row r="13" spans="1:5">
      <c r="A13" s="3" t="s">
        <v>16</v>
      </c>
      <c r="B13" s="3" t="s">
        <v>21</v>
      </c>
      <c r="C13" s="3">
        <v>7</v>
      </c>
      <c r="D13" s="4">
        <v>8500</v>
      </c>
      <c r="E13" s="4">
        <f>PRODUCT(C13:D13)</f>
        <v>59500</v>
      </c>
    </row>
    <row r="14" spans="1:5">
      <c r="A14" s="3" t="s">
        <v>10</v>
      </c>
      <c r="B14" s="3" t="s">
        <v>22</v>
      </c>
      <c r="C14" s="3">
        <v>2</v>
      </c>
      <c r="D14" s="4">
        <v>9400</v>
      </c>
      <c r="E14" s="4">
        <f>PRODUCT(C14:D14)</f>
        <v>18800</v>
      </c>
    </row>
    <row r="15" spans="1:5">
      <c r="A15" s="3" t="s">
        <v>8</v>
      </c>
      <c r="B15" s="3" t="s">
        <v>23</v>
      </c>
      <c r="C15" s="3">
        <v>8</v>
      </c>
      <c r="D15" s="4">
        <v>12000</v>
      </c>
      <c r="E15" s="4">
        <f>PRODUCT(C15:D15)</f>
        <v>96000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5">
      <c r="A26" t="s">
        <v>16</v>
      </c>
    </row>
    <row r="30" spans="1:5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</row>
    <row r="31" spans="1:5">
      <c r="A31" t="s">
        <v>5</v>
      </c>
      <c r="C31" t="s">
        <v>24</v>
      </c>
    </row>
    <row r="35" spans="1:6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</row>
    <row r="36" spans="1:6">
      <c r="B36" t="s">
        <v>7</v>
      </c>
    </row>
    <row r="40" spans="1:6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2</v>
      </c>
    </row>
    <row r="41" spans="1:6">
      <c r="C41" t="s">
        <v>25</v>
      </c>
      <c r="F41" t="s">
        <v>26</v>
      </c>
    </row>
  </sheetData>
  <sortState xmlns:xlrd2="http://schemas.microsoft.com/office/spreadsheetml/2017/richdata2" ref="A2:E15">
    <sortCondition ref="D2:D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4CDD8-7D30-43AE-A67D-413C9302D14D}">
  <dimension ref="A1:E15"/>
  <sheetViews>
    <sheetView workbookViewId="0">
      <selection activeCell="A17" sqref="A17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5" max="5" width="10.57031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10</v>
      </c>
      <c r="B2" s="3" t="s">
        <v>11</v>
      </c>
      <c r="C2" s="3">
        <v>2</v>
      </c>
      <c r="D2" s="4">
        <v>2400</v>
      </c>
      <c r="E2" s="4">
        <f>PRODUCT(C2:D2)</f>
        <v>4800</v>
      </c>
    </row>
    <row r="3" spans="1:5">
      <c r="A3" s="3" t="s">
        <v>10</v>
      </c>
      <c r="B3" s="3" t="s">
        <v>15</v>
      </c>
      <c r="C3" s="3">
        <v>10</v>
      </c>
      <c r="D3" s="4">
        <v>4800</v>
      </c>
      <c r="E3" s="4">
        <f>PRODUCT(C3:D3)</f>
        <v>48000</v>
      </c>
    </row>
    <row r="4" spans="1:5">
      <c r="A4" s="3" t="s">
        <v>10</v>
      </c>
      <c r="B4" s="3" t="s">
        <v>22</v>
      </c>
      <c r="C4" s="3">
        <v>2</v>
      </c>
      <c r="D4" s="4">
        <v>9400</v>
      </c>
      <c r="E4" s="4">
        <f>PRODUCT(C4:D4)</f>
        <v>18800</v>
      </c>
    </row>
    <row r="5" spans="1:5">
      <c r="A5" s="3" t="s">
        <v>16</v>
      </c>
      <c r="B5" s="3" t="s">
        <v>17</v>
      </c>
      <c r="C5" s="3">
        <v>4</v>
      </c>
      <c r="D5" s="4">
        <v>5000</v>
      </c>
      <c r="E5" s="4">
        <f>PRODUCT(C5:D5)</f>
        <v>20000</v>
      </c>
    </row>
    <row r="6" spans="1:5">
      <c r="A6" s="3" t="s">
        <v>16</v>
      </c>
      <c r="B6" s="3" t="s">
        <v>21</v>
      </c>
      <c r="C6" s="3">
        <v>7</v>
      </c>
      <c r="D6" s="4">
        <v>8500</v>
      </c>
      <c r="E6" s="4">
        <f>PRODUCT(C6:D6)</f>
        <v>59500</v>
      </c>
    </row>
    <row r="7" spans="1:5">
      <c r="A7" s="3" t="s">
        <v>5</v>
      </c>
      <c r="B7" s="3" t="s">
        <v>6</v>
      </c>
      <c r="C7" s="3">
        <v>5</v>
      </c>
      <c r="D7" s="4">
        <v>1200</v>
      </c>
      <c r="E7" s="4">
        <f>PRODUCT(C7:D7)</f>
        <v>6000</v>
      </c>
    </row>
    <row r="8" spans="1:5">
      <c r="A8" s="3" t="s">
        <v>5</v>
      </c>
      <c r="B8" s="3" t="s">
        <v>14</v>
      </c>
      <c r="C8" s="3">
        <v>3</v>
      </c>
      <c r="D8" s="4">
        <v>2600</v>
      </c>
      <c r="E8" s="4">
        <f>PRODUCT(C8:D8)</f>
        <v>7800</v>
      </c>
    </row>
    <row r="9" spans="1:5">
      <c r="A9" s="3" t="s">
        <v>5</v>
      </c>
      <c r="B9" s="3" t="s">
        <v>7</v>
      </c>
      <c r="C9" s="3">
        <v>4</v>
      </c>
      <c r="D9" s="4">
        <v>1800</v>
      </c>
      <c r="E9" s="4">
        <f>PRODUCT(C9:D9)</f>
        <v>7200</v>
      </c>
    </row>
    <row r="10" spans="1:5">
      <c r="A10" s="3" t="s">
        <v>8</v>
      </c>
      <c r="B10" s="3" t="s">
        <v>18</v>
      </c>
      <c r="C10" s="3">
        <v>12</v>
      </c>
      <c r="D10" s="4">
        <v>6500</v>
      </c>
      <c r="E10" s="4">
        <f>PRODUCT(C10:D10)</f>
        <v>78000</v>
      </c>
    </row>
    <row r="11" spans="1:5">
      <c r="A11" s="3" t="s">
        <v>8</v>
      </c>
      <c r="B11" s="3" t="s">
        <v>20</v>
      </c>
      <c r="C11" s="3">
        <v>8</v>
      </c>
      <c r="D11" s="4">
        <v>7800</v>
      </c>
      <c r="E11" s="4">
        <f>PRODUCT(C11:D11)</f>
        <v>62400</v>
      </c>
    </row>
    <row r="12" spans="1:5">
      <c r="A12" s="3" t="s">
        <v>8</v>
      </c>
      <c r="B12" s="3" t="s">
        <v>23</v>
      </c>
      <c r="C12" s="3">
        <v>8</v>
      </c>
      <c r="D12" s="4">
        <v>12000</v>
      </c>
      <c r="E12" s="4">
        <f>PRODUCT(C12:D12)</f>
        <v>96000</v>
      </c>
    </row>
    <row r="13" spans="1:5">
      <c r="A13" s="3" t="s">
        <v>8</v>
      </c>
      <c r="B13" s="3" t="s">
        <v>9</v>
      </c>
      <c r="C13" s="3">
        <v>1</v>
      </c>
      <c r="D13" s="4">
        <v>1800</v>
      </c>
      <c r="E13" s="4">
        <f>PRODUCT(C13:D13)</f>
        <v>1800</v>
      </c>
    </row>
    <row r="14" spans="1:5">
      <c r="A14" s="3" t="s">
        <v>12</v>
      </c>
      <c r="B14" s="3" t="s">
        <v>19</v>
      </c>
      <c r="C14" s="3">
        <v>6</v>
      </c>
      <c r="D14" s="4">
        <v>6500</v>
      </c>
      <c r="E14" s="4">
        <f>PRODUCT(C14:D14)</f>
        <v>39000</v>
      </c>
    </row>
    <row r="15" spans="1:5">
      <c r="A15" s="3" t="s">
        <v>12</v>
      </c>
      <c r="B15" s="3" t="s">
        <v>13</v>
      </c>
      <c r="C15" s="3">
        <v>6</v>
      </c>
      <c r="D15" s="4">
        <v>2500</v>
      </c>
      <c r="E15" s="4">
        <f>PRODUCT(C15:D15)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928E-A582-4F94-AAD3-E62AB6350A5F}">
  <dimension ref="A1:E20"/>
  <sheetViews>
    <sheetView tabSelected="1" workbookViewId="0">
      <selection sqref="A1:E15"/>
    </sheetView>
  </sheetViews>
  <sheetFormatPr defaultRowHeight="15"/>
  <cols>
    <col min="1" max="1" width="19.5703125" bestFit="1" customWidth="1"/>
    <col min="2" max="2" width="36.5703125" bestFit="1" customWidth="1"/>
    <col min="3" max="3" width="10.140625" bestFit="1" customWidth="1"/>
    <col min="4" max="4" width="12.7109375" bestFit="1" customWidth="1"/>
    <col min="5" max="5" width="11.710937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>
        <v>5</v>
      </c>
      <c r="D2" s="4">
        <v>1200</v>
      </c>
      <c r="E2" s="4">
        <f>PRODUCT(C2:D2)</f>
        <v>6000</v>
      </c>
    </row>
    <row r="3" spans="1:5">
      <c r="A3" s="3" t="s">
        <v>5</v>
      </c>
      <c r="B3" s="3" t="s">
        <v>7</v>
      </c>
      <c r="C3" s="3">
        <v>4</v>
      </c>
      <c r="D3" s="4">
        <v>1800</v>
      </c>
      <c r="E3" s="4">
        <f>PRODUCT(C3:D3)</f>
        <v>7200</v>
      </c>
    </row>
    <row r="4" spans="1:5">
      <c r="A4" s="3" t="s">
        <v>8</v>
      </c>
      <c r="B4" s="3" t="s">
        <v>9</v>
      </c>
      <c r="C4" s="3">
        <v>1</v>
      </c>
      <c r="D4" s="4">
        <v>1800</v>
      </c>
      <c r="E4" s="4">
        <f>PRODUCT(C4:D4)</f>
        <v>1800</v>
      </c>
    </row>
    <row r="5" spans="1:5">
      <c r="A5" s="3" t="s">
        <v>10</v>
      </c>
      <c r="B5" s="3" t="s">
        <v>11</v>
      </c>
      <c r="C5" s="3">
        <v>2</v>
      </c>
      <c r="D5" s="4">
        <v>2400</v>
      </c>
      <c r="E5" s="4">
        <f>PRODUCT(C5:D5)</f>
        <v>4800</v>
      </c>
    </row>
    <row r="6" spans="1:5">
      <c r="A6" s="3" t="s">
        <v>12</v>
      </c>
      <c r="B6" s="3" t="s">
        <v>13</v>
      </c>
      <c r="C6" s="3">
        <v>6</v>
      </c>
      <c r="D6" s="4">
        <v>2500</v>
      </c>
      <c r="E6" s="4">
        <f>PRODUCT(C6:D6)</f>
        <v>15000</v>
      </c>
    </row>
    <row r="7" spans="1:5">
      <c r="A7" s="3" t="s">
        <v>5</v>
      </c>
      <c r="B7" s="3" t="s">
        <v>14</v>
      </c>
      <c r="C7" s="3">
        <v>3</v>
      </c>
      <c r="D7" s="4">
        <v>2600</v>
      </c>
      <c r="E7" s="4">
        <f>PRODUCT(C7:D7)</f>
        <v>7800</v>
      </c>
    </row>
    <row r="8" spans="1:5">
      <c r="A8" s="3" t="s">
        <v>10</v>
      </c>
      <c r="B8" s="3" t="s">
        <v>15</v>
      </c>
      <c r="C8" s="3">
        <v>10</v>
      </c>
      <c r="D8" s="4">
        <v>4800</v>
      </c>
      <c r="E8" s="4">
        <f>PRODUCT(C8:D8)</f>
        <v>48000</v>
      </c>
    </row>
    <row r="9" spans="1:5">
      <c r="A9" s="3" t="s">
        <v>16</v>
      </c>
      <c r="B9" s="3" t="s">
        <v>17</v>
      </c>
      <c r="C9" s="3">
        <v>4</v>
      </c>
      <c r="D9" s="4">
        <v>5000</v>
      </c>
      <c r="E9" s="4">
        <f>PRODUCT(C9:D9)</f>
        <v>20000</v>
      </c>
    </row>
    <row r="10" spans="1:5">
      <c r="A10" s="3" t="s">
        <v>8</v>
      </c>
      <c r="B10" s="3" t="s">
        <v>18</v>
      </c>
      <c r="C10" s="3">
        <v>12</v>
      </c>
      <c r="D10" s="4">
        <v>6500</v>
      </c>
      <c r="E10" s="4">
        <f>PRODUCT(C10:D10)</f>
        <v>78000</v>
      </c>
    </row>
    <row r="11" spans="1:5">
      <c r="A11" s="3" t="s">
        <v>12</v>
      </c>
      <c r="B11" s="3" t="s">
        <v>19</v>
      </c>
      <c r="C11" s="3">
        <v>6</v>
      </c>
      <c r="D11" s="4">
        <v>6500</v>
      </c>
      <c r="E11" s="4">
        <f>PRODUCT(C11:D11)</f>
        <v>39000</v>
      </c>
    </row>
    <row r="12" spans="1:5">
      <c r="A12" s="3" t="s">
        <v>8</v>
      </c>
      <c r="B12" s="3" t="s">
        <v>20</v>
      </c>
      <c r="C12" s="3">
        <v>8</v>
      </c>
      <c r="D12" s="4">
        <v>7800</v>
      </c>
      <c r="E12" s="4">
        <f>PRODUCT(C12:D12)</f>
        <v>62400</v>
      </c>
    </row>
    <row r="13" spans="1:5">
      <c r="A13" s="3" t="s">
        <v>16</v>
      </c>
      <c r="B13" s="3" t="s">
        <v>21</v>
      </c>
      <c r="C13" s="3">
        <v>7</v>
      </c>
      <c r="D13" s="4">
        <v>8500</v>
      </c>
      <c r="E13" s="4">
        <f>PRODUCT(C13:D13)</f>
        <v>59500</v>
      </c>
    </row>
    <row r="14" spans="1:5">
      <c r="A14" s="3" t="s">
        <v>10</v>
      </c>
      <c r="B14" s="3" t="s">
        <v>22</v>
      </c>
      <c r="C14" s="3">
        <v>2</v>
      </c>
      <c r="D14" s="4">
        <v>9400</v>
      </c>
      <c r="E14" s="4">
        <f>PRODUCT(C14:D14)</f>
        <v>18800</v>
      </c>
    </row>
    <row r="15" spans="1:5">
      <c r="A15" s="3" t="s">
        <v>8</v>
      </c>
      <c r="B15" s="3" t="s">
        <v>23</v>
      </c>
      <c r="C15" s="3">
        <v>8</v>
      </c>
      <c r="D15" s="4">
        <v>12000</v>
      </c>
      <c r="E15" s="4">
        <f>PRODUCT(C15:D15)</f>
        <v>96000</v>
      </c>
    </row>
    <row r="18" spans="1:2" ht="30.75">
      <c r="A18" t="s">
        <v>27</v>
      </c>
      <c r="B18" s="1">
        <f>SUMIFS(E2:E15,A2:A15,"C",C2:C15,"&lt;10")</f>
        <v>23600</v>
      </c>
    </row>
    <row r="19" spans="1:2" ht="30.75">
      <c r="A19" t="s">
        <v>28</v>
      </c>
      <c r="B19" s="1">
        <f>COUNTIFS(A2:A15,"R",D2:D15,"&gt;2000",C2:C15,"&lt;4")</f>
        <v>1</v>
      </c>
    </row>
    <row r="20" spans="1:2">
      <c r="A20" t="s">
        <v>29</v>
      </c>
      <c r="B20">
        <f>AVERAGEIFS(E2:E15,B2:B15,"T*",D2:D15,"&lt;12000")</f>
        <v>47400</v>
      </c>
    </row>
  </sheetData>
  <sortState xmlns:xlrd2="http://schemas.microsoft.com/office/spreadsheetml/2017/richdata2" ref="A2:E15">
    <sortCondition ref="D2:D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2026-02-15T04:16:02Z</dcterms:created>
  <dcterms:modified xsi:type="dcterms:W3CDTF">2026-02-15T05:21:28Z</dcterms:modified>
  <cp:category/>
  <cp:contentStatus/>
</cp:coreProperties>
</file>