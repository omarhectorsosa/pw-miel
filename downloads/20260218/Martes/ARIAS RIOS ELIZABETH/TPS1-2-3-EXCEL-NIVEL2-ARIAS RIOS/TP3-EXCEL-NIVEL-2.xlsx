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B37C910-5D13-41AC-92E9-AF9DF5617A25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B19" i="3"/>
  <c r="E4" i="3"/>
  <c r="E5" i="3"/>
  <c r="E11" i="3"/>
  <c r="E6" i="3"/>
  <c r="E15" i="3"/>
  <c r="E14" i="3"/>
  <c r="E2" i="3"/>
  <c r="E7" i="3"/>
  <c r="E3" i="3"/>
  <c r="E9" i="3"/>
  <c r="E13" i="3"/>
  <c r="E12" i="3"/>
  <c r="E8" i="3"/>
  <c r="E10" i="3"/>
  <c r="B20" i="3" s="1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<sst xmlns="http://schemas.openxmlformats.org/spreadsheetml/2006/main" count="130" uniqueCount="31">
  <si>
    <t>CÓDIGO</t>
  </si>
  <si>
    <t>DESCRIPCIÓN</t>
  </si>
  <si>
    <t>CANTIDAD</t>
  </si>
  <si>
    <t>PRECIO UNIT.</t>
  </si>
  <si>
    <t>TOTAL</t>
  </si>
  <si>
    <t>T</t>
  </si>
  <si>
    <t>Televisor 32"</t>
  </si>
  <si>
    <t xml:space="preserve">C 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</si>
  <si>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</si>
  <si>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</si>
  <si>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</si>
  <si>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</si>
  <si>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</si>
  <si>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</si>
  <si>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</si>
  <si>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</si>
  <si>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</si>
  <si>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</si>
  <si>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</si>
  <si>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</si>
  <si>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</si>
  <si>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acondicionada F/C</t>
  </si>
  <si>
    <t>Anafe 2 hornallas</t>
  </si>
  <si>
    <t>TV portatil (12V)</t>
  </si>
  <si>
    <t>&gt;=5</t>
  </si>
  <si>
    <t>&gt;4</t>
  </si>
  <si>
    <t>&lt;9</t>
  </si>
  <si>
    <t>Importe Total:</t>
  </si>
  <si>
    <r>
      <rPr>
        <b/>
        <sz val="11"/>
        <color rgb="FF000000"/>
        <rFont val="Calibri"/>
      </rPr>
      <t>Observación:</t>
    </r>
    <r>
      <rPr>
        <sz val="11"/>
        <color rgb="FF000000"/>
        <rFont val="Calibri"/>
      </rPr>
      <t xml:space="preserve"> En A18 hice la función con ayuda de la tabla y no da el resultado esperado, también tipie la formula y  da cero, intente cambiando el criterio para ver si cambia el resultado y tampoco, siempre da CERO.</t>
    </r>
  </si>
  <si>
    <t>Contar Productos:</t>
  </si>
  <si>
    <t>Promedio de Importe: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</si>
</sst>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C0A]\ * #,##0_-;\-[$$-2C0A]\ * #,##0_-;_-[$$-2C0A]\ * &quot;-&quot;_-;_-@_-"/>
    <numFmt numFmtId="165" formatCode="_-[$$-2C0A]\ * #,##0.00_-;\-[$$-2C0A]\ * #,##0.00_-;_-[$$-2C0A]\ * &quot;-&quot;??_-;_-@_-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3" borderId="0" xfId="0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opLeftCell="A21" workbookViewId="0">
      <selection activeCell="G17" sqref="G17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5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2">
        <v>6500</v>
      </c>
      <c r="E2" s="3">
        <f>PRODUCT(C2,D2)</f>
        <v>78000</v>
      </c>
    </row>
    <row r="3" spans="1:5">
      <c r="A3" s="2" t="s">
        <v>7</v>
      </c>
      <c r="B3" s="2" t="s">
        <v>8</v>
      </c>
      <c r="C3" s="2">
        <v>10</v>
      </c>
      <c r="D3" s="2">
        <v>4800</v>
      </c>
      <c r="E3" s="3">
        <f t="shared" ref="E3:E15" si="0">PRODUCT(C3,D3)</f>
        <v>48000</v>
      </c>
    </row>
    <row r="4" spans="1:5">
      <c r="A4" s="2" t="s">
        <v>5</v>
      </c>
      <c r="B4" s="2" t="s">
        <v>9</v>
      </c>
      <c r="C4" s="2">
        <v>8</v>
      </c>
      <c r="D4" s="2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2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2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2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2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2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2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2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2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2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2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2">
        <v>1800</v>
      </c>
      <c r="E15" s="3">
        <f t="shared" si="0"/>
        <v>1800</v>
      </c>
    </row>
    <row r="17" spans="1:5">
      <c r="A17">
        <f>DMAX(A1:E15,D1,A25:E26)</f>
        <v>8500</v>
      </c>
    </row>
    <row r="18" spans="1:5">
      <c r="A18">
        <f>DSUM(A1:E15,E1,A28:E29)</f>
        <v>6000</v>
      </c>
    </row>
    <row r="19" spans="1:5">
      <c r="A19">
        <f>DGET(A1:E15,D1,A31:E32)</f>
        <v>1800</v>
      </c>
    </row>
    <row r="20" spans="1:5">
      <c r="A20">
        <f>DCOUNTA(A1:E15,B1,A34:F35)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10</v>
      </c>
    </row>
    <row r="28" spans="1: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</row>
    <row r="29" spans="1:5">
      <c r="A29" t="s">
        <v>13</v>
      </c>
      <c r="C29" t="s">
        <v>24</v>
      </c>
    </row>
    <row r="31" spans="1: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</row>
    <row r="32" spans="1:5">
      <c r="B32" s="2" t="s">
        <v>14</v>
      </c>
    </row>
    <row r="34" spans="1:6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2</v>
      </c>
    </row>
    <row r="35" spans="1:6">
      <c r="C35" t="s">
        <v>25</v>
      </c>
      <c r="F3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0971-2457-468E-B150-7703E4EAE863}">
  <dimension ref="A1:E15"/>
  <sheetViews>
    <sheetView workbookViewId="0">
      <selection activeCell="C18" sqref="C18"/>
    </sheetView>
  </sheetViews>
  <sheetFormatPr defaultRowHeight="15"/>
  <cols>
    <col min="2" max="2" width="28.28515625" customWidth="1"/>
    <col min="3" max="3" width="10.7109375" customWidth="1"/>
    <col min="4" max="4" width="12.85546875" customWidth="1"/>
    <col min="5" max="5" width="15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2" t="s">
        <v>22</v>
      </c>
      <c r="C2" s="2">
        <v>2</v>
      </c>
      <c r="D2" s="8">
        <v>2400</v>
      </c>
      <c r="E2" s="8">
        <f>PRODUCT(C2,D2)</f>
        <v>4800</v>
      </c>
    </row>
    <row r="3" spans="1:5">
      <c r="A3" s="2" t="s">
        <v>7</v>
      </c>
      <c r="B3" s="2" t="s">
        <v>8</v>
      </c>
      <c r="C3" s="2">
        <v>10</v>
      </c>
      <c r="D3" s="8">
        <v>4800</v>
      </c>
      <c r="E3" s="8">
        <f>PRODUCT(C3,D3)</f>
        <v>48000</v>
      </c>
    </row>
    <row r="4" spans="1:5">
      <c r="A4" s="2" t="s">
        <v>7</v>
      </c>
      <c r="B4" s="2" t="s">
        <v>17</v>
      </c>
      <c r="C4" s="2">
        <v>2</v>
      </c>
      <c r="D4" s="8">
        <v>9400</v>
      </c>
      <c r="E4" s="8">
        <f>PRODUCT(C4,D4)</f>
        <v>18800</v>
      </c>
    </row>
    <row r="5" spans="1:5">
      <c r="A5" s="2" t="s">
        <v>10</v>
      </c>
      <c r="B5" s="2" t="s">
        <v>12</v>
      </c>
      <c r="C5" s="2">
        <v>4</v>
      </c>
      <c r="D5" s="8">
        <v>5000</v>
      </c>
      <c r="E5" s="8">
        <f>PRODUCT(C5,D5)</f>
        <v>20000</v>
      </c>
    </row>
    <row r="6" spans="1:5">
      <c r="A6" s="2" t="s">
        <v>10</v>
      </c>
      <c r="B6" s="2" t="s">
        <v>11</v>
      </c>
      <c r="C6" s="2">
        <v>7</v>
      </c>
      <c r="D6" s="8">
        <v>8500</v>
      </c>
      <c r="E6" s="8">
        <f>PRODUCT(C6,D6)</f>
        <v>59500</v>
      </c>
    </row>
    <row r="7" spans="1:5">
      <c r="A7" s="2" t="s">
        <v>13</v>
      </c>
      <c r="B7" s="2" t="s">
        <v>16</v>
      </c>
      <c r="C7" s="2">
        <v>5</v>
      </c>
      <c r="D7" s="8">
        <v>1200</v>
      </c>
      <c r="E7" s="8">
        <f>PRODUCT(C7,D7)</f>
        <v>6000</v>
      </c>
    </row>
    <row r="8" spans="1:5">
      <c r="A8" s="2" t="s">
        <v>13</v>
      </c>
      <c r="B8" s="2" t="s">
        <v>15</v>
      </c>
      <c r="C8" s="2">
        <v>3</v>
      </c>
      <c r="D8" s="8">
        <v>2600</v>
      </c>
      <c r="E8" s="8">
        <f>PRODUCT(C8,D8)</f>
        <v>7800</v>
      </c>
    </row>
    <row r="9" spans="1:5">
      <c r="A9" s="2" t="s">
        <v>13</v>
      </c>
      <c r="B9" s="2" t="s">
        <v>14</v>
      </c>
      <c r="C9" s="2">
        <v>4</v>
      </c>
      <c r="D9" s="8">
        <v>1800</v>
      </c>
      <c r="E9" s="8">
        <f>PRODUCT(C9,D9)</f>
        <v>7200</v>
      </c>
    </row>
    <row r="10" spans="1:5">
      <c r="A10" s="2" t="s">
        <v>5</v>
      </c>
      <c r="B10" s="2" t="s">
        <v>6</v>
      </c>
      <c r="C10" s="2">
        <v>12</v>
      </c>
      <c r="D10" s="8">
        <v>6500</v>
      </c>
      <c r="E10" s="8">
        <f>PRODUCT(C10,D10)</f>
        <v>78000</v>
      </c>
    </row>
    <row r="11" spans="1:5">
      <c r="A11" s="2" t="s">
        <v>5</v>
      </c>
      <c r="B11" s="2" t="s">
        <v>9</v>
      </c>
      <c r="C11" s="2">
        <v>8</v>
      </c>
      <c r="D11" s="8">
        <v>7800</v>
      </c>
      <c r="E11" s="8">
        <f>PRODUCT(C11,D11)</f>
        <v>62400</v>
      </c>
    </row>
    <row r="12" spans="1:5">
      <c r="A12" s="2" t="s">
        <v>5</v>
      </c>
      <c r="B12" s="2" t="s">
        <v>18</v>
      </c>
      <c r="C12" s="2">
        <v>8</v>
      </c>
      <c r="D12" s="8">
        <v>12000</v>
      </c>
      <c r="E12" s="8">
        <f>PRODUCT(C12,D12)</f>
        <v>96000</v>
      </c>
    </row>
    <row r="13" spans="1:5">
      <c r="A13" s="2" t="s">
        <v>5</v>
      </c>
      <c r="B13" s="2" t="s">
        <v>23</v>
      </c>
      <c r="C13" s="2">
        <v>1</v>
      </c>
      <c r="D13" s="8">
        <v>1800</v>
      </c>
      <c r="E13" s="8">
        <f>PRODUCT(C13,D13)</f>
        <v>1800</v>
      </c>
    </row>
    <row r="14" spans="1:5">
      <c r="A14" s="2" t="s">
        <v>19</v>
      </c>
      <c r="B14" s="2" t="s">
        <v>21</v>
      </c>
      <c r="C14" s="2">
        <v>6</v>
      </c>
      <c r="D14" s="8">
        <v>6500</v>
      </c>
      <c r="E14" s="8">
        <f>PRODUCT(C14,D14)</f>
        <v>39000</v>
      </c>
    </row>
    <row r="15" spans="1:5">
      <c r="A15" s="2" t="s">
        <v>19</v>
      </c>
      <c r="B15" s="2" t="s">
        <v>20</v>
      </c>
      <c r="C15" s="2">
        <v>6</v>
      </c>
      <c r="D15" s="8">
        <v>2500</v>
      </c>
      <c r="E15" s="8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5A1C-4C41-4DD8-9EE8-913E17880780}">
  <dimension ref="A1:M20"/>
  <sheetViews>
    <sheetView tabSelected="1" workbookViewId="0">
      <selection activeCell="D2" sqref="A2:E15"/>
    </sheetView>
  </sheetViews>
  <sheetFormatPr defaultRowHeight="15"/>
  <cols>
    <col min="1" max="1" width="19.85546875" customWidth="1"/>
    <col min="2" max="2" width="27" customWidth="1"/>
    <col min="4" max="4" width="15.85546875" customWidth="1"/>
    <col min="5" max="5" width="14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13</v>
      </c>
      <c r="B2" s="2" t="s">
        <v>16</v>
      </c>
      <c r="C2" s="2">
        <v>5</v>
      </c>
      <c r="D2" s="8">
        <v>1200</v>
      </c>
      <c r="E2" s="8">
        <f>PRODUCT(C2,D2)</f>
        <v>6000</v>
      </c>
    </row>
    <row r="3" spans="1:5">
      <c r="A3" s="2" t="s">
        <v>13</v>
      </c>
      <c r="B3" s="2" t="s">
        <v>14</v>
      </c>
      <c r="C3" s="2">
        <v>4</v>
      </c>
      <c r="D3" s="8">
        <v>1800</v>
      </c>
      <c r="E3" s="8">
        <f>PRODUCT(C3,D3)</f>
        <v>7200</v>
      </c>
    </row>
    <row r="4" spans="1:5">
      <c r="A4" s="2" t="s">
        <v>5</v>
      </c>
      <c r="B4" s="2" t="s">
        <v>23</v>
      </c>
      <c r="C4" s="2">
        <v>1</v>
      </c>
      <c r="D4" s="8">
        <v>1800</v>
      </c>
      <c r="E4" s="8">
        <f>PRODUCT(C4,D4)</f>
        <v>1800</v>
      </c>
    </row>
    <row r="5" spans="1:5">
      <c r="A5" s="2" t="s">
        <v>7</v>
      </c>
      <c r="B5" s="2" t="s">
        <v>22</v>
      </c>
      <c r="C5" s="2">
        <v>2</v>
      </c>
      <c r="D5" s="8">
        <v>2400</v>
      </c>
      <c r="E5" s="8">
        <f>PRODUCT(C5,D5)</f>
        <v>4800</v>
      </c>
    </row>
    <row r="6" spans="1:5">
      <c r="A6" s="2" t="s">
        <v>19</v>
      </c>
      <c r="B6" s="2" t="s">
        <v>20</v>
      </c>
      <c r="C6" s="2">
        <v>6</v>
      </c>
      <c r="D6" s="8">
        <v>2500</v>
      </c>
      <c r="E6" s="8">
        <f>PRODUCT(C6,D6)</f>
        <v>15000</v>
      </c>
    </row>
    <row r="7" spans="1:5">
      <c r="A7" s="2" t="s">
        <v>13</v>
      </c>
      <c r="B7" s="2" t="s">
        <v>15</v>
      </c>
      <c r="C7" s="2">
        <v>3</v>
      </c>
      <c r="D7" s="8">
        <v>2600</v>
      </c>
      <c r="E7" s="8">
        <f>PRODUCT(C7,D7)</f>
        <v>7800</v>
      </c>
    </row>
    <row r="8" spans="1:5">
      <c r="A8" s="2" t="s">
        <v>7</v>
      </c>
      <c r="B8" s="2" t="s">
        <v>8</v>
      </c>
      <c r="C8" s="2">
        <v>10</v>
      </c>
      <c r="D8" s="8">
        <v>4800</v>
      </c>
      <c r="E8" s="8">
        <f>PRODUCT(C8,D8)</f>
        <v>48000</v>
      </c>
    </row>
    <row r="9" spans="1:5">
      <c r="A9" s="2" t="s">
        <v>10</v>
      </c>
      <c r="B9" s="2" t="s">
        <v>12</v>
      </c>
      <c r="C9" s="2">
        <v>4</v>
      </c>
      <c r="D9" s="8">
        <v>5000</v>
      </c>
      <c r="E9" s="8">
        <f>PRODUCT(C9,D9)</f>
        <v>20000</v>
      </c>
    </row>
    <row r="10" spans="1:5">
      <c r="A10" s="2" t="s">
        <v>5</v>
      </c>
      <c r="B10" s="2" t="s">
        <v>6</v>
      </c>
      <c r="C10" s="2">
        <v>12</v>
      </c>
      <c r="D10" s="8">
        <v>6500</v>
      </c>
      <c r="E10" s="8">
        <f>PRODUCT(C10,D10)</f>
        <v>78000</v>
      </c>
    </row>
    <row r="11" spans="1:5">
      <c r="A11" s="2" t="s">
        <v>19</v>
      </c>
      <c r="B11" s="2" t="s">
        <v>21</v>
      </c>
      <c r="C11" s="2">
        <v>6</v>
      </c>
      <c r="D11" s="8">
        <v>6500</v>
      </c>
      <c r="E11" s="8">
        <f>PRODUCT(C11,D11)</f>
        <v>39000</v>
      </c>
    </row>
    <row r="12" spans="1:5">
      <c r="A12" s="2" t="s">
        <v>5</v>
      </c>
      <c r="B12" s="2" t="s">
        <v>9</v>
      </c>
      <c r="C12" s="2">
        <v>8</v>
      </c>
      <c r="D12" s="8">
        <v>7800</v>
      </c>
      <c r="E12" s="8">
        <f>PRODUCT(C12,D12)</f>
        <v>62400</v>
      </c>
    </row>
    <row r="13" spans="1:5">
      <c r="A13" s="2" t="s">
        <v>10</v>
      </c>
      <c r="B13" s="2" t="s">
        <v>11</v>
      </c>
      <c r="C13" s="2">
        <v>7</v>
      </c>
      <c r="D13" s="8">
        <v>8500</v>
      </c>
      <c r="E13" s="8">
        <f>PRODUCT(C13,D13)</f>
        <v>59500</v>
      </c>
    </row>
    <row r="14" spans="1:5">
      <c r="A14" s="2" t="s">
        <v>7</v>
      </c>
      <c r="B14" s="2" t="s">
        <v>17</v>
      </c>
      <c r="C14" s="2">
        <v>2</v>
      </c>
      <c r="D14" s="8">
        <v>9400</v>
      </c>
      <c r="E14" s="8">
        <f>PRODUCT(C14,D14)</f>
        <v>18800</v>
      </c>
    </row>
    <row r="15" spans="1:5">
      <c r="A15" s="2" t="s">
        <v>5</v>
      </c>
      <c r="B15" s="2" t="s">
        <v>18</v>
      </c>
      <c r="C15" s="2">
        <v>8</v>
      </c>
      <c r="D15" s="8">
        <v>12000</v>
      </c>
      <c r="E15" s="8">
        <f>PRODUCT(C15,D15)</f>
        <v>96000</v>
      </c>
    </row>
    <row r="18" spans="1:13" ht="21" customHeight="1">
      <c r="A18" s="5" t="s">
        <v>27</v>
      </c>
      <c r="B18" s="4">
        <f>SUMIFS(E2:E15,A2:A15,"C",C2:C15,"&lt;10")</f>
        <v>0</v>
      </c>
      <c r="D18" s="7" t="s">
        <v>28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ht="18.75" customHeight="1">
      <c r="A19" s="5" t="s">
        <v>29</v>
      </c>
      <c r="B19">
        <f>COUNTIFS(A2:A15,"R",D2:D15,"&gt;2000",C2:C15,"&lt;4")</f>
        <v>1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21" customHeight="1">
      <c r="A20" s="5" t="s">
        <v>30</v>
      </c>
      <c r="B20">
        <f>AVERAGEIFS(E2:E15,B2:B15,"T*",D2:D15,"&lt;12000")</f>
        <v>47400</v>
      </c>
    </row>
  </sheetData>
  <sortState xmlns:xlrd2="http://schemas.microsoft.com/office/spreadsheetml/2017/richdata2" ref="A2:E15">
    <sortCondition ref="D2:D15"/>
  </sortState>
  <mergeCells count="1">
    <mergeCell ref="D18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2026-02-14T22:23:18Z</dcterms:created>
  <dcterms:modified xsi:type="dcterms:W3CDTF">2026-02-15T20:41:01Z</dcterms:modified>
  <cp:category/>
  <cp:contentStatus/>
</cp:coreProperties>
</file>