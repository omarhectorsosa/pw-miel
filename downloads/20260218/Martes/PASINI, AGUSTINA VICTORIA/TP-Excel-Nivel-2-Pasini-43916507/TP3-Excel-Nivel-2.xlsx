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B152D9BD-BF08-4EFD-9E10-9DFAD0357187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19" i="3"/>
  <c r="E4" i="3"/>
  <c r="E5" i="3"/>
  <c r="E11" i="3"/>
  <c r="E6" i="3"/>
  <c r="E15" i="3"/>
  <c r="E14" i="3"/>
  <c r="E2" i="3"/>
  <c r="E7" i="3"/>
  <c r="E3" i="3"/>
  <c r="E9" i="3"/>
  <c r="E13" i="3"/>
  <c r="E12" i="3"/>
  <c r="E8" i="3"/>
  <c r="E10" i="3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20" i="1"/>
  <c r="A19" i="1"/>
  <c r="A17" i="1"/>
  <c r="E8" i="1"/>
  <c r="E12" i="1"/>
  <c r="E13" i="1"/>
  <c r="E9" i="1"/>
  <c r="E3" i="1"/>
  <c r="E7" i="1"/>
  <c r="E2" i="1"/>
  <c r="A18" i="1" s="1"/>
  <c r="E14" i="1"/>
  <c r="E15" i="1"/>
  <c r="E6" i="1"/>
  <c r="E11" i="1"/>
  <c r="E5" i="1"/>
  <c r="E4" i="1"/>
  <c r="E10" i="1"/>
  <c r="B18" i="3" l="1"/>
</calcChain>
</file>

<file path=xl/sharedStrings.xml><?xml version="1.0" encoding="utf-8"?>
<sst xmlns="http://schemas.openxmlformats.org/spreadsheetml/2006/main" count="129" uniqueCount="30">
  <si>
    <t>CODIGO</t>
  </si>
  <si>
    <t>DESCRIPCION</t>
  </si>
  <si>
    <t>CANTIDAD</t>
  </si>
  <si>
    <t>PRECIO UNIT.</t>
  </si>
  <si>
    <t>TOTAL</t>
  </si>
  <si>
    <t>R</t>
  </si>
  <si>
    <t>Radio AM/FM 3 bandas</t>
  </si>
  <si>
    <t>Radio onda corta</t>
  </si>
  <si>
    <t>T</t>
  </si>
  <si>
    <t>TV portatil (12V)</t>
  </si>
  <si>
    <t>C</t>
  </si>
  <si>
    <t>Anafe 2 hornallas</t>
  </si>
  <si>
    <t>V</t>
  </si>
  <si>
    <t>Ventilador 25" giratorio</t>
  </si>
  <si>
    <t>Radio con CD y mp3</t>
  </si>
  <si>
    <t>Cocina 4 hornallas</t>
  </si>
  <si>
    <t>H</t>
  </si>
  <si>
    <t>Freezer carga superior</t>
  </si>
  <si>
    <t>Televisor 32"</t>
  </si>
  <si>
    <t>Aire acondicionado F/C</t>
  </si>
  <si>
    <t>Televisor 42" LED</t>
  </si>
  <si>
    <t>Heladera 12 pies, con freezer</t>
  </si>
  <si>
    <t>Cocina industrial 6 hornallas</t>
  </si>
  <si>
    <t>Televisor 42" LED 3D</t>
  </si>
  <si>
    <t>&gt;=5</t>
  </si>
  <si>
    <t>&gt;4</t>
  </si>
  <si>
    <t>&lt;9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</si>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</sst>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DD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6DD9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opLeftCell="A21" workbookViewId="0">
      <selection activeCell="F40" sqref="F40"/>
    </sheetView>
  </sheetViews>
  <sheetFormatPr defaultRowHeight="15"/>
  <cols>
    <col min="1" max="1" width="8" bestFit="1" customWidth="1"/>
    <col min="2" max="2" width="26.28515625" bestFit="1" customWidth="1"/>
    <col min="3" max="3" width="10.140625" bestFit="1" customWidth="1"/>
    <col min="4" max="4" width="12.7109375" bestFit="1" customWidth="1"/>
    <col min="5" max="5" width="11.570312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1">
        <v>5</v>
      </c>
      <c r="D2" s="2">
        <v>1200</v>
      </c>
      <c r="E2" s="2">
        <f>PRODUCT(C2,D2)</f>
        <v>6000</v>
      </c>
    </row>
    <row r="3" spans="1:5">
      <c r="A3" s="1" t="s">
        <v>5</v>
      </c>
      <c r="B3" s="1" t="s">
        <v>7</v>
      </c>
      <c r="C3" s="1">
        <v>4</v>
      </c>
      <c r="D3" s="2">
        <v>1800</v>
      </c>
      <c r="E3" s="2">
        <f>PRODUCT(C3,D3)</f>
        <v>7200</v>
      </c>
    </row>
    <row r="4" spans="1:5">
      <c r="A4" s="1" t="s">
        <v>8</v>
      </c>
      <c r="B4" s="1" t="s">
        <v>9</v>
      </c>
      <c r="C4" s="1">
        <v>1</v>
      </c>
      <c r="D4" s="2">
        <v>1800</v>
      </c>
      <c r="E4" s="2">
        <f>PRODUCT(C4,D4)</f>
        <v>1800</v>
      </c>
    </row>
    <row r="5" spans="1:5">
      <c r="A5" s="1" t="s">
        <v>10</v>
      </c>
      <c r="B5" s="1" t="s">
        <v>11</v>
      </c>
      <c r="C5" s="1">
        <v>2</v>
      </c>
      <c r="D5" s="2">
        <v>2400</v>
      </c>
      <c r="E5" s="2">
        <f>PRODUCT(C5,D5)</f>
        <v>4800</v>
      </c>
    </row>
    <row r="6" spans="1:5">
      <c r="A6" s="1" t="s">
        <v>12</v>
      </c>
      <c r="B6" s="1" t="s">
        <v>13</v>
      </c>
      <c r="C6" s="1">
        <v>6</v>
      </c>
      <c r="D6" s="2">
        <v>2500</v>
      </c>
      <c r="E6" s="2">
        <f>PRODUCT(C6,D6)</f>
        <v>15000</v>
      </c>
    </row>
    <row r="7" spans="1:5">
      <c r="A7" s="1" t="s">
        <v>5</v>
      </c>
      <c r="B7" s="1" t="s">
        <v>14</v>
      </c>
      <c r="C7" s="1">
        <v>3</v>
      </c>
      <c r="D7" s="2">
        <v>2600</v>
      </c>
      <c r="E7" s="2">
        <f>PRODUCT(C7,D7)</f>
        <v>7800</v>
      </c>
    </row>
    <row r="8" spans="1:5">
      <c r="A8" s="1" t="s">
        <v>10</v>
      </c>
      <c r="B8" s="1" t="s">
        <v>15</v>
      </c>
      <c r="C8" s="1">
        <v>10</v>
      </c>
      <c r="D8" s="2">
        <v>4800</v>
      </c>
      <c r="E8" s="2">
        <f>PRODUCT(C8,D8)</f>
        <v>48000</v>
      </c>
    </row>
    <row r="9" spans="1:5">
      <c r="A9" s="1" t="s">
        <v>16</v>
      </c>
      <c r="B9" s="1" t="s">
        <v>17</v>
      </c>
      <c r="C9" s="1">
        <v>4</v>
      </c>
      <c r="D9" s="2">
        <v>5000</v>
      </c>
      <c r="E9" s="2">
        <f>PRODUCT(C9,D9)</f>
        <v>20000</v>
      </c>
    </row>
    <row r="10" spans="1:5">
      <c r="A10" s="1" t="s">
        <v>8</v>
      </c>
      <c r="B10" s="1" t="s">
        <v>18</v>
      </c>
      <c r="C10" s="1">
        <v>12</v>
      </c>
      <c r="D10" s="2">
        <v>6500</v>
      </c>
      <c r="E10" s="2">
        <f>PRODUCT(C10,D10)</f>
        <v>78000</v>
      </c>
    </row>
    <row r="11" spans="1:5">
      <c r="A11" s="1" t="s">
        <v>12</v>
      </c>
      <c r="B11" s="1" t="s">
        <v>19</v>
      </c>
      <c r="C11" s="1">
        <v>6</v>
      </c>
      <c r="D11" s="2">
        <v>6500</v>
      </c>
      <c r="E11" s="2">
        <f>PRODUCT(C11,D11)</f>
        <v>39000</v>
      </c>
    </row>
    <row r="12" spans="1:5" ht="14.25" customHeight="1">
      <c r="A12" s="1" t="s">
        <v>8</v>
      </c>
      <c r="B12" s="1" t="s">
        <v>20</v>
      </c>
      <c r="C12" s="1">
        <v>8</v>
      </c>
      <c r="D12" s="2">
        <v>7800</v>
      </c>
      <c r="E12" s="2">
        <f>PRODUCT(C12,D12)</f>
        <v>62400</v>
      </c>
    </row>
    <row r="13" spans="1:5" ht="14.25" customHeight="1">
      <c r="A13" s="1" t="s">
        <v>16</v>
      </c>
      <c r="B13" s="1" t="s">
        <v>21</v>
      </c>
      <c r="C13" s="1">
        <v>7</v>
      </c>
      <c r="D13" s="2">
        <v>8500</v>
      </c>
      <c r="E13" s="2">
        <f>PRODUCT(C13,D13)</f>
        <v>59500</v>
      </c>
    </row>
    <row r="14" spans="1:5" ht="14.25" customHeight="1">
      <c r="A14" s="1" t="s">
        <v>10</v>
      </c>
      <c r="B14" s="1" t="s">
        <v>22</v>
      </c>
      <c r="C14" s="1">
        <v>2</v>
      </c>
      <c r="D14" s="2">
        <v>9400</v>
      </c>
      <c r="E14" s="2">
        <f>PRODUCT(C14,D14)</f>
        <v>18800</v>
      </c>
    </row>
    <row r="15" spans="1:5">
      <c r="A15" s="1" t="s">
        <v>8</v>
      </c>
      <c r="B15" s="1" t="s">
        <v>23</v>
      </c>
      <c r="C15" s="1">
        <v>8</v>
      </c>
      <c r="D15" s="2">
        <v>12000</v>
      </c>
      <c r="E15" s="2">
        <f>PRODUCT(C15,D15)</f>
        <v>96000</v>
      </c>
    </row>
    <row r="17" spans="1:5">
      <c r="A17">
        <f>DMAX(A1:E15,4,A25:A26)</f>
        <v>8500</v>
      </c>
    </row>
    <row r="18" spans="1:5">
      <c r="A18">
        <f>DSUM(A1:E15,5,A30:E31)</f>
        <v>6000</v>
      </c>
    </row>
    <row r="19" spans="1:5">
      <c r="A19">
        <f>DGET(A1:E15,4,B35:B36)</f>
        <v>1800</v>
      </c>
    </row>
    <row r="20" spans="1:5">
      <c r="A20">
        <f>DCOUNTA(A1:E15,2,A40:F41)</f>
        <v>6</v>
      </c>
    </row>
    <row r="25" spans="1:5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</row>
    <row r="26" spans="1:5">
      <c r="A26" t="s">
        <v>16</v>
      </c>
    </row>
    <row r="30" spans="1:5">
      <c r="A30" s="3" t="s">
        <v>0</v>
      </c>
      <c r="B30" s="3" t="s">
        <v>1</v>
      </c>
      <c r="C30" s="3" t="s">
        <v>2</v>
      </c>
      <c r="D30" s="3" t="s">
        <v>3</v>
      </c>
      <c r="E30" s="3" t="s">
        <v>4</v>
      </c>
    </row>
    <row r="31" spans="1:5">
      <c r="A31" t="s">
        <v>5</v>
      </c>
      <c r="C31" t="s">
        <v>24</v>
      </c>
    </row>
    <row r="35" spans="1:6">
      <c r="A35" s="3" t="s">
        <v>0</v>
      </c>
      <c r="B35" s="3" t="s">
        <v>1</v>
      </c>
      <c r="C35" s="3" t="s">
        <v>2</v>
      </c>
      <c r="D35" s="3" t="s">
        <v>3</v>
      </c>
      <c r="E35" s="3" t="s">
        <v>4</v>
      </c>
    </row>
    <row r="36" spans="1:6">
      <c r="B36" s="1" t="s">
        <v>7</v>
      </c>
    </row>
    <row r="40" spans="1:6">
      <c r="A40" s="3" t="s">
        <v>0</v>
      </c>
      <c r="B40" s="3" t="s">
        <v>1</v>
      </c>
      <c r="C40" s="3" t="s">
        <v>2</v>
      </c>
      <c r="D40" s="3" t="s">
        <v>3</v>
      </c>
      <c r="E40" s="3" t="s">
        <v>4</v>
      </c>
      <c r="F40" s="3" t="s">
        <v>2</v>
      </c>
    </row>
    <row r="41" spans="1:6">
      <c r="C41" t="s">
        <v>25</v>
      </c>
      <c r="F41" t="s">
        <v>26</v>
      </c>
    </row>
  </sheetData>
  <sortState xmlns:xlrd2="http://schemas.microsoft.com/office/spreadsheetml/2017/richdata2" ref="A2:E15">
    <sortCondition ref="D2:D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3009A-7EE7-4F65-A48A-8A15CC679B91}">
  <dimension ref="A1:E15"/>
  <sheetViews>
    <sheetView workbookViewId="0">
      <selection activeCell="C21" sqref="C21"/>
    </sheetView>
  </sheetViews>
  <sheetFormatPr defaultRowHeight="15"/>
  <cols>
    <col min="1" max="1" width="8.140625" bestFit="1" customWidth="1"/>
    <col min="2" max="2" width="26.28515625" bestFit="1" customWidth="1"/>
    <col min="3" max="3" width="10.28515625" bestFit="1" customWidth="1"/>
    <col min="4" max="4" width="12.85546875" bestFit="1" customWidth="1"/>
    <col min="5" max="5" width="11.570312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10</v>
      </c>
      <c r="B2" s="1" t="s">
        <v>11</v>
      </c>
      <c r="C2" s="1">
        <v>2</v>
      </c>
      <c r="D2" s="2">
        <v>2400</v>
      </c>
      <c r="E2" s="2">
        <f>PRODUCT(C2,D2)</f>
        <v>4800</v>
      </c>
    </row>
    <row r="3" spans="1:5">
      <c r="A3" s="1" t="s">
        <v>10</v>
      </c>
      <c r="B3" s="1" t="s">
        <v>15</v>
      </c>
      <c r="C3" s="1">
        <v>10</v>
      </c>
      <c r="D3" s="2">
        <v>4800</v>
      </c>
      <c r="E3" s="2">
        <f>PRODUCT(C3,D3)</f>
        <v>48000</v>
      </c>
    </row>
    <row r="4" spans="1:5">
      <c r="A4" s="1" t="s">
        <v>10</v>
      </c>
      <c r="B4" s="1" t="s">
        <v>22</v>
      </c>
      <c r="C4" s="1">
        <v>2</v>
      </c>
      <c r="D4" s="2">
        <v>9400</v>
      </c>
      <c r="E4" s="2">
        <f>PRODUCT(C4,D4)</f>
        <v>18800</v>
      </c>
    </row>
    <row r="5" spans="1:5">
      <c r="A5" s="1" t="s">
        <v>16</v>
      </c>
      <c r="B5" s="1" t="s">
        <v>17</v>
      </c>
      <c r="C5" s="1">
        <v>4</v>
      </c>
      <c r="D5" s="2">
        <v>5000</v>
      </c>
      <c r="E5" s="2">
        <f>PRODUCT(C5,D5)</f>
        <v>20000</v>
      </c>
    </row>
    <row r="6" spans="1:5">
      <c r="A6" s="1" t="s">
        <v>16</v>
      </c>
      <c r="B6" s="1" t="s">
        <v>21</v>
      </c>
      <c r="C6" s="1">
        <v>7</v>
      </c>
      <c r="D6" s="2">
        <v>8500</v>
      </c>
      <c r="E6" s="2">
        <f>PRODUCT(C6,D6)</f>
        <v>59500</v>
      </c>
    </row>
    <row r="7" spans="1:5">
      <c r="A7" s="1" t="s">
        <v>5</v>
      </c>
      <c r="B7" s="1" t="s">
        <v>6</v>
      </c>
      <c r="C7" s="1">
        <v>5</v>
      </c>
      <c r="D7" s="2">
        <v>1200</v>
      </c>
      <c r="E7" s="2">
        <f>PRODUCT(C7,D7)</f>
        <v>6000</v>
      </c>
    </row>
    <row r="8" spans="1:5">
      <c r="A8" s="1" t="s">
        <v>5</v>
      </c>
      <c r="B8" s="1" t="s">
        <v>14</v>
      </c>
      <c r="C8" s="1">
        <v>3</v>
      </c>
      <c r="D8" s="2">
        <v>2600</v>
      </c>
      <c r="E8" s="2">
        <f>PRODUCT(C8,D8)</f>
        <v>7800</v>
      </c>
    </row>
    <row r="9" spans="1:5">
      <c r="A9" s="1" t="s">
        <v>5</v>
      </c>
      <c r="B9" s="1" t="s">
        <v>7</v>
      </c>
      <c r="C9" s="1">
        <v>4</v>
      </c>
      <c r="D9" s="2">
        <v>1800</v>
      </c>
      <c r="E9" s="2">
        <f>PRODUCT(C9,D9)</f>
        <v>7200</v>
      </c>
    </row>
    <row r="10" spans="1:5">
      <c r="A10" s="1" t="s">
        <v>8</v>
      </c>
      <c r="B10" s="1" t="s">
        <v>18</v>
      </c>
      <c r="C10" s="1">
        <v>12</v>
      </c>
      <c r="D10" s="2">
        <v>6500</v>
      </c>
      <c r="E10" s="2">
        <f>PRODUCT(C10,D10)</f>
        <v>78000</v>
      </c>
    </row>
    <row r="11" spans="1:5">
      <c r="A11" s="1" t="s">
        <v>8</v>
      </c>
      <c r="B11" s="1" t="s">
        <v>20</v>
      </c>
      <c r="C11" s="1">
        <v>8</v>
      </c>
      <c r="D11" s="2">
        <v>7800</v>
      </c>
      <c r="E11" s="2">
        <f>PRODUCT(C11,D11)</f>
        <v>62400</v>
      </c>
    </row>
    <row r="12" spans="1:5">
      <c r="A12" s="1" t="s">
        <v>8</v>
      </c>
      <c r="B12" s="1" t="s">
        <v>23</v>
      </c>
      <c r="C12" s="1">
        <v>8</v>
      </c>
      <c r="D12" s="2">
        <v>12000</v>
      </c>
      <c r="E12" s="2">
        <f>PRODUCT(C12,D12)</f>
        <v>96000</v>
      </c>
    </row>
    <row r="13" spans="1:5">
      <c r="A13" s="1" t="s">
        <v>8</v>
      </c>
      <c r="B13" s="1" t="s">
        <v>9</v>
      </c>
      <c r="C13" s="1">
        <v>1</v>
      </c>
      <c r="D13" s="2">
        <v>1800</v>
      </c>
      <c r="E13" s="2">
        <f>PRODUCT(C13,D13)</f>
        <v>1800</v>
      </c>
    </row>
    <row r="14" spans="1:5">
      <c r="A14" s="1" t="s">
        <v>12</v>
      </c>
      <c r="B14" s="1" t="s">
        <v>19</v>
      </c>
      <c r="C14" s="1">
        <v>6</v>
      </c>
      <c r="D14" s="2">
        <v>6500</v>
      </c>
      <c r="E14" s="2">
        <f>PRODUCT(C14,D14)</f>
        <v>39000</v>
      </c>
    </row>
    <row r="15" spans="1:5">
      <c r="A15" s="1" t="s">
        <v>12</v>
      </c>
      <c r="B15" s="1" t="s">
        <v>13</v>
      </c>
      <c r="C15" s="1">
        <v>6</v>
      </c>
      <c r="D15" s="2">
        <v>2500</v>
      </c>
      <c r="E15" s="2">
        <f>PRODUCT(C15,D15)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9063F-B6E8-48D1-BBC6-6CB64F669981}">
  <dimension ref="A1:E20"/>
  <sheetViews>
    <sheetView tabSelected="1" workbookViewId="0">
      <selection activeCell="B21" sqref="B21"/>
    </sheetView>
  </sheetViews>
  <sheetFormatPr defaultRowHeight="15"/>
  <cols>
    <col min="1" max="1" width="19.5703125" bestFit="1" customWidth="1"/>
    <col min="2" max="2" width="26.28515625" bestFit="1" customWidth="1"/>
    <col min="3" max="3" width="10.28515625" bestFit="1" customWidth="1"/>
    <col min="4" max="4" width="12.85546875" bestFit="1" customWidth="1"/>
    <col min="5" max="5" width="11.570312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1">
        <v>5</v>
      </c>
      <c r="D2" s="2">
        <v>1200</v>
      </c>
      <c r="E2" s="2">
        <f>PRODUCT(C2,D2)</f>
        <v>6000</v>
      </c>
    </row>
    <row r="3" spans="1:5">
      <c r="A3" s="1" t="s">
        <v>5</v>
      </c>
      <c r="B3" s="1" t="s">
        <v>7</v>
      </c>
      <c r="C3" s="1">
        <v>4</v>
      </c>
      <c r="D3" s="2">
        <v>1800</v>
      </c>
      <c r="E3" s="2">
        <f>PRODUCT(C3,D3)</f>
        <v>7200</v>
      </c>
    </row>
    <row r="4" spans="1:5">
      <c r="A4" s="1" t="s">
        <v>8</v>
      </c>
      <c r="B4" s="1" t="s">
        <v>9</v>
      </c>
      <c r="C4" s="1">
        <v>1</v>
      </c>
      <c r="D4" s="2">
        <v>1800</v>
      </c>
      <c r="E4" s="2">
        <f>PRODUCT(C4,D4)</f>
        <v>1800</v>
      </c>
    </row>
    <row r="5" spans="1:5">
      <c r="A5" s="1" t="s">
        <v>10</v>
      </c>
      <c r="B5" s="1" t="s">
        <v>11</v>
      </c>
      <c r="C5" s="1">
        <v>2</v>
      </c>
      <c r="D5" s="2">
        <v>2400</v>
      </c>
      <c r="E5" s="2">
        <f>PRODUCT(C5,D5)</f>
        <v>4800</v>
      </c>
    </row>
    <row r="6" spans="1:5">
      <c r="A6" s="1" t="s">
        <v>12</v>
      </c>
      <c r="B6" s="1" t="s">
        <v>13</v>
      </c>
      <c r="C6" s="1">
        <v>6</v>
      </c>
      <c r="D6" s="2">
        <v>2500</v>
      </c>
      <c r="E6" s="2">
        <f>PRODUCT(C6,D6)</f>
        <v>15000</v>
      </c>
    </row>
    <row r="7" spans="1:5">
      <c r="A7" s="1" t="s">
        <v>5</v>
      </c>
      <c r="B7" s="1" t="s">
        <v>14</v>
      </c>
      <c r="C7" s="1">
        <v>3</v>
      </c>
      <c r="D7" s="2">
        <v>2600</v>
      </c>
      <c r="E7" s="2">
        <f>PRODUCT(C7,D7)</f>
        <v>7800</v>
      </c>
    </row>
    <row r="8" spans="1:5">
      <c r="A8" s="1" t="s">
        <v>10</v>
      </c>
      <c r="B8" s="1" t="s">
        <v>15</v>
      </c>
      <c r="C8" s="1">
        <v>10</v>
      </c>
      <c r="D8" s="2">
        <v>4800</v>
      </c>
      <c r="E8" s="2">
        <f>PRODUCT(C8,D8)</f>
        <v>48000</v>
      </c>
    </row>
    <row r="9" spans="1:5">
      <c r="A9" s="1" t="s">
        <v>16</v>
      </c>
      <c r="B9" s="1" t="s">
        <v>17</v>
      </c>
      <c r="C9" s="1">
        <v>4</v>
      </c>
      <c r="D9" s="2">
        <v>5000</v>
      </c>
      <c r="E9" s="2">
        <f>PRODUCT(C9,D9)</f>
        <v>20000</v>
      </c>
    </row>
    <row r="10" spans="1:5">
      <c r="A10" s="1" t="s">
        <v>8</v>
      </c>
      <c r="B10" s="1" t="s">
        <v>18</v>
      </c>
      <c r="C10" s="1">
        <v>12</v>
      </c>
      <c r="D10" s="2">
        <v>6500</v>
      </c>
      <c r="E10" s="2">
        <f>PRODUCT(C10,D10)</f>
        <v>78000</v>
      </c>
    </row>
    <row r="11" spans="1:5">
      <c r="A11" s="1" t="s">
        <v>12</v>
      </c>
      <c r="B11" s="1" t="s">
        <v>19</v>
      </c>
      <c r="C11" s="1">
        <v>6</v>
      </c>
      <c r="D11" s="2">
        <v>6500</v>
      </c>
      <c r="E11" s="2">
        <f>PRODUCT(C11,D11)</f>
        <v>39000</v>
      </c>
    </row>
    <row r="12" spans="1:5">
      <c r="A12" s="1" t="s">
        <v>8</v>
      </c>
      <c r="B12" s="1" t="s">
        <v>20</v>
      </c>
      <c r="C12" s="1">
        <v>8</v>
      </c>
      <c r="D12" s="2">
        <v>7800</v>
      </c>
      <c r="E12" s="2">
        <f>PRODUCT(C12,D12)</f>
        <v>62400</v>
      </c>
    </row>
    <row r="13" spans="1:5">
      <c r="A13" s="1" t="s">
        <v>16</v>
      </c>
      <c r="B13" s="1" t="s">
        <v>21</v>
      </c>
      <c r="C13" s="1">
        <v>7</v>
      </c>
      <c r="D13" s="2">
        <v>8500</v>
      </c>
      <c r="E13" s="2">
        <f>PRODUCT(C13,D13)</f>
        <v>59500</v>
      </c>
    </row>
    <row r="14" spans="1:5">
      <c r="A14" s="1" t="s">
        <v>10</v>
      </c>
      <c r="B14" s="1" t="s">
        <v>22</v>
      </c>
      <c r="C14" s="1">
        <v>2</v>
      </c>
      <c r="D14" s="2">
        <v>9400</v>
      </c>
      <c r="E14" s="2">
        <f>PRODUCT(C14,D14)</f>
        <v>18800</v>
      </c>
    </row>
    <row r="15" spans="1:5">
      <c r="A15" s="1" t="s">
        <v>8</v>
      </c>
      <c r="B15" s="1" t="s">
        <v>23</v>
      </c>
      <c r="C15" s="1">
        <v>8</v>
      </c>
      <c r="D15" s="2">
        <v>12000</v>
      </c>
      <c r="E15" s="2">
        <f>PRODUCT(C15,D15)</f>
        <v>96000</v>
      </c>
    </row>
    <row r="18" spans="1:2">
      <c r="A18" s="4" t="s">
        <v>27</v>
      </c>
      <c r="B18">
        <f>SUMIFS(E2:E15,A2:A15,"C",C2:C15,"&lt;10")</f>
        <v>23600</v>
      </c>
    </row>
    <row r="19" spans="1:2">
      <c r="A19" s="4" t="s">
        <v>28</v>
      </c>
      <c r="B19">
        <f>COUNTIFS(A2:A15,"R",D2:D15,"&gt;2000",C2:C15,"&lt;4")</f>
        <v>1</v>
      </c>
    </row>
    <row r="20" spans="1:2">
      <c r="A20" s="4" t="s">
        <v>29</v>
      </c>
      <c r="B20">
        <f>AVERAGEIFS(E2:E15,A2:A15,"T*",D2:D15,"&lt;12000")</f>
        <v>47400</v>
      </c>
    </row>
  </sheetData>
  <sortState xmlns:xlrd2="http://schemas.microsoft.com/office/spreadsheetml/2017/richdata2" ref="A2:E15">
    <sortCondition ref="D2:D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2026-02-07T19:59:44Z</dcterms:created>
  <dcterms:modified xsi:type="dcterms:W3CDTF">2026-02-07T21:00:17Z</dcterms:modified>
  <cp:category/>
  <cp:contentStatus/>
</cp:coreProperties>
</file>