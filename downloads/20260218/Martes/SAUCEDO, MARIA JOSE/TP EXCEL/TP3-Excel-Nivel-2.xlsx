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38289B61-2683-4770-9D11-36177B52F644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E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B18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</calcChain>
</file>

<file path=xl/sharedStrings.xml><?xml version="1.0" encoding="utf-8"?>
<sst xmlns="http://schemas.openxmlformats.org/spreadsheetml/2006/main" count="130" uniqueCount="31">
  <si>
    <t xml:space="preserve">codigo </t>
  </si>
  <si>
    <t>descripcion</t>
  </si>
  <si>
    <t>cantidad</t>
  </si>
  <si>
    <t>precio unitario</t>
  </si>
  <si>
    <t>total</t>
  </si>
  <si>
    <t>T</t>
  </si>
  <si>
    <t>Televisor 32"</t>
  </si>
  <si>
    <t>C</t>
  </si>
  <si>
    <t xml:space="preserve">Cocina 4 hornallas </t>
  </si>
  <si>
    <t>Televisor 42" LED</t>
  </si>
  <si>
    <t>H</t>
  </si>
  <si>
    <t xml:space="preserve">Heladera 12 pies ,con freezer </t>
  </si>
  <si>
    <t>Freezer carga superior</t>
  </si>
  <si>
    <t>R</t>
  </si>
  <si>
    <t>Radio onda corta</t>
  </si>
  <si>
    <t>Radio con CD y mp3</t>
  </si>
  <si>
    <t xml:space="preserve">Radio AM/FM 3 bandas </t>
  </si>
  <si>
    <t xml:space="preserve">Cocina Industrial 6 hornallas </t>
  </si>
  <si>
    <t xml:space="preserve">Televisor 42" LED 3D </t>
  </si>
  <si>
    <t>V</t>
  </si>
  <si>
    <t xml:space="preserve">Ventilador 25" giratorio </t>
  </si>
  <si>
    <t>Aire acondicionado F/C</t>
  </si>
  <si>
    <t xml:space="preserve">Anafe 2 hornallas </t>
  </si>
  <si>
    <t>TV portatil 12 (V)</t>
  </si>
  <si>
    <t>&gt;=5</t>
  </si>
  <si>
    <t>&gt;4</t>
  </si>
  <si>
    <t>&lt;9</t>
  </si>
  <si>
    <t>PUNTO 4</t>
  </si>
  <si>
    <t>Importe Total</t>
  </si>
  <si>
    <t>contar productos</t>
  </si>
  <si>
    <t xml:space="preserve">promedio de importe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</si>
</sst>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2C0A]\ #,##0.000"/>
    <numFmt numFmtId="165" formatCode="0.000"/>
    <numFmt numFmtId="166" formatCode="_-[$$-2C0A]\ * #,##0.000_-;\-[$$-2C0A]\ * #,##0.000_-;_-[$$-2C0A]\ * &quot;-&quot;???_-;_-@_-"/>
  </numFmts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165" fontId="0" fillId="0" borderId="0" xfId="0" applyNumberFormat="1" applyAlignment="1">
      <alignment wrapText="1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workbookViewId="0">
      <selection activeCell="F7" sqref="F7"/>
    </sheetView>
  </sheetViews>
  <sheetFormatPr defaultRowHeight="15"/>
  <cols>
    <col min="1" max="1" width="12.85546875" customWidth="1"/>
    <col min="2" max="2" width="26.7109375" bestFit="1" customWidth="1"/>
    <col min="4" max="4" width="13.7109375" bestFit="1" customWidth="1"/>
    <col min="5" max="5" width="9.42578125" bestFit="1" customWidth="1"/>
  </cols>
  <sheetData>
    <row r="1" spans="1:5" ht="32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>
      <c r="A2" s="2" t="s">
        <v>5</v>
      </c>
      <c r="B2" s="2" t="s">
        <v>6</v>
      </c>
      <c r="C2" s="2">
        <v>12</v>
      </c>
      <c r="D2" s="8">
        <v>6.5</v>
      </c>
      <c r="E2" s="8">
        <f>PRODUCT(C2:D2)</f>
        <v>78</v>
      </c>
    </row>
    <row r="3" spans="1:5">
      <c r="A3" s="2" t="s">
        <v>7</v>
      </c>
      <c r="B3" s="2" t="s">
        <v>8</v>
      </c>
      <c r="C3" s="2">
        <v>10</v>
      </c>
      <c r="D3" s="8">
        <v>4.8</v>
      </c>
      <c r="E3" s="8">
        <f t="shared" ref="E3:E15" si="0">PRODUCT(C3:D3)</f>
        <v>48</v>
      </c>
    </row>
    <row r="4" spans="1:5">
      <c r="A4" s="2" t="s">
        <v>5</v>
      </c>
      <c r="B4" s="2" t="s">
        <v>9</v>
      </c>
      <c r="C4" s="2">
        <v>8</v>
      </c>
      <c r="D4" s="8">
        <v>7.8</v>
      </c>
      <c r="E4" s="8">
        <f t="shared" si="0"/>
        <v>62.4</v>
      </c>
    </row>
    <row r="5" spans="1:5">
      <c r="A5" s="2" t="s">
        <v>10</v>
      </c>
      <c r="B5" s="2" t="s">
        <v>11</v>
      </c>
      <c r="C5" s="2">
        <v>7</v>
      </c>
      <c r="D5" s="8">
        <v>8.5</v>
      </c>
      <c r="E5" s="8">
        <f t="shared" si="0"/>
        <v>59.5</v>
      </c>
    </row>
    <row r="6" spans="1:5">
      <c r="A6" s="2" t="s">
        <v>10</v>
      </c>
      <c r="B6" s="2" t="s">
        <v>12</v>
      </c>
      <c r="C6" s="2">
        <v>4</v>
      </c>
      <c r="D6" s="8">
        <v>5</v>
      </c>
      <c r="E6" s="8">
        <f t="shared" si="0"/>
        <v>20</v>
      </c>
    </row>
    <row r="7" spans="1:5">
      <c r="A7" s="2" t="s">
        <v>13</v>
      </c>
      <c r="B7" s="2" t="s">
        <v>14</v>
      </c>
      <c r="C7" s="2">
        <v>4</v>
      </c>
      <c r="D7" s="8">
        <v>1.8</v>
      </c>
      <c r="E7" s="8">
        <f t="shared" si="0"/>
        <v>7.2</v>
      </c>
    </row>
    <row r="8" spans="1:5">
      <c r="A8" s="2" t="s">
        <v>13</v>
      </c>
      <c r="B8" s="2" t="s">
        <v>15</v>
      </c>
      <c r="C8" s="2">
        <v>3</v>
      </c>
      <c r="D8" s="8">
        <v>2.6</v>
      </c>
      <c r="E8" s="8">
        <f t="shared" si="0"/>
        <v>7.8000000000000007</v>
      </c>
    </row>
    <row r="9" spans="1:5">
      <c r="A9" s="2" t="s">
        <v>13</v>
      </c>
      <c r="B9" s="2" t="s">
        <v>16</v>
      </c>
      <c r="C9" s="2">
        <v>5</v>
      </c>
      <c r="D9" s="8">
        <v>1.2</v>
      </c>
      <c r="E9" s="8">
        <f t="shared" si="0"/>
        <v>6</v>
      </c>
    </row>
    <row r="10" spans="1:5">
      <c r="A10" s="2" t="s">
        <v>7</v>
      </c>
      <c r="B10" s="2" t="s">
        <v>17</v>
      </c>
      <c r="C10" s="2">
        <v>2</v>
      </c>
      <c r="D10" s="8">
        <v>9.4</v>
      </c>
      <c r="E10" s="8">
        <f t="shared" si="0"/>
        <v>18.8</v>
      </c>
    </row>
    <row r="11" spans="1:5">
      <c r="A11" s="2" t="s">
        <v>5</v>
      </c>
      <c r="B11" s="2" t="s">
        <v>18</v>
      </c>
      <c r="C11" s="2">
        <v>8</v>
      </c>
      <c r="D11" s="8">
        <v>12</v>
      </c>
      <c r="E11" s="8">
        <f t="shared" si="0"/>
        <v>96</v>
      </c>
    </row>
    <row r="12" spans="1:5">
      <c r="A12" s="2" t="s">
        <v>19</v>
      </c>
      <c r="B12" s="2" t="s">
        <v>20</v>
      </c>
      <c r="C12" s="2">
        <v>6</v>
      </c>
      <c r="D12" s="8">
        <v>2.5</v>
      </c>
      <c r="E12" s="8">
        <f t="shared" si="0"/>
        <v>15</v>
      </c>
    </row>
    <row r="13" spans="1:5">
      <c r="A13" s="2" t="s">
        <v>19</v>
      </c>
      <c r="B13" s="2" t="s">
        <v>21</v>
      </c>
      <c r="C13" s="2">
        <v>6</v>
      </c>
      <c r="D13" s="8">
        <v>6.5</v>
      </c>
      <c r="E13" s="8">
        <f t="shared" si="0"/>
        <v>39</v>
      </c>
    </row>
    <row r="14" spans="1:5">
      <c r="A14" s="2" t="s">
        <v>7</v>
      </c>
      <c r="B14" s="2" t="s">
        <v>22</v>
      </c>
      <c r="C14" s="2">
        <v>2</v>
      </c>
      <c r="D14" s="8">
        <v>2.4</v>
      </c>
      <c r="E14" s="8">
        <f t="shared" si="0"/>
        <v>4.8</v>
      </c>
    </row>
    <row r="15" spans="1:5">
      <c r="A15" s="2" t="s">
        <v>5</v>
      </c>
      <c r="B15" s="2" t="s">
        <v>23</v>
      </c>
      <c r="C15" s="2">
        <v>1</v>
      </c>
      <c r="D15" s="8">
        <v>1.8</v>
      </c>
      <c r="E15" s="8">
        <f t="shared" si="0"/>
        <v>1.8</v>
      </c>
    </row>
    <row r="17" spans="1:5">
      <c r="A17" s="5">
        <f>DMAX(A1:E15,4,A25:E26)</f>
        <v>8.5</v>
      </c>
    </row>
    <row r="18" spans="1:5">
      <c r="A18" s="5">
        <f>DSUM(A1:E15,5,A30:E31)</f>
        <v>6</v>
      </c>
    </row>
    <row r="19" spans="1:5">
      <c r="A19" s="6">
        <f>DGET(A1:E15,4,A35:E36)</f>
        <v>1.8</v>
      </c>
    </row>
    <row r="20" spans="1:5">
      <c r="A20">
        <f>DCOUNTA(A1:E15,2,A40:F41)</f>
        <v>6</v>
      </c>
    </row>
    <row r="25" spans="1:5" ht="15.7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s="2" t="s">
        <v>10</v>
      </c>
      <c r="B26" s="2"/>
      <c r="C26" s="2"/>
      <c r="D26" s="2"/>
      <c r="E26" s="2"/>
    </row>
    <row r="30" spans="1:5" ht="15.7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>
      <c r="A31" s="2" t="s">
        <v>13</v>
      </c>
      <c r="C31" t="s">
        <v>24</v>
      </c>
    </row>
    <row r="35" spans="1:6" ht="15.7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</row>
    <row r="36" spans="1:6">
      <c r="B36" s="2" t="s">
        <v>14</v>
      </c>
    </row>
    <row r="40" spans="1:6" ht="15.7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2</v>
      </c>
    </row>
    <row r="41" spans="1:6">
      <c r="C41" t="s">
        <v>25</v>
      </c>
      <c r="F41" t="s">
        <v>26</v>
      </c>
    </row>
    <row r="44" spans="1:6">
      <c r="A4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CAFC-323E-45E0-8D46-437907B538B9}">
  <dimension ref="A1:E15"/>
  <sheetViews>
    <sheetView workbookViewId="0">
      <selection activeCell="A18" sqref="A18"/>
    </sheetView>
  </sheetViews>
  <sheetFormatPr defaultRowHeight="15"/>
  <cols>
    <col min="2" max="2" width="24.7109375" customWidth="1"/>
    <col min="3" max="3" width="12" customWidth="1"/>
  </cols>
  <sheetData>
    <row r="1" spans="1:5" ht="32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>
      <c r="A2" s="2" t="s">
        <v>7</v>
      </c>
      <c r="B2" s="2" t="s">
        <v>22</v>
      </c>
      <c r="C2" s="4">
        <v>2</v>
      </c>
      <c r="D2" s="3">
        <v>2.4</v>
      </c>
      <c r="E2" s="3">
        <f>PRODUCT(C2,D2)</f>
        <v>4.8</v>
      </c>
    </row>
    <row r="3" spans="1:5">
      <c r="A3" s="2" t="s">
        <v>7</v>
      </c>
      <c r="B3" s="2" t="s">
        <v>8</v>
      </c>
      <c r="C3" s="4">
        <v>10</v>
      </c>
      <c r="D3" s="3">
        <v>4.8</v>
      </c>
      <c r="E3" s="3">
        <f>PRODUCT(C3,D3)</f>
        <v>48</v>
      </c>
    </row>
    <row r="4" spans="1:5">
      <c r="A4" s="2" t="s">
        <v>7</v>
      </c>
      <c r="B4" s="2" t="s">
        <v>17</v>
      </c>
      <c r="C4" s="4">
        <v>2</v>
      </c>
      <c r="D4" s="3">
        <v>9.4</v>
      </c>
      <c r="E4" s="3">
        <f>PRODUCT(C4,D4)</f>
        <v>18.8</v>
      </c>
    </row>
    <row r="5" spans="1:5">
      <c r="A5" s="2" t="s">
        <v>10</v>
      </c>
      <c r="B5" s="2" t="s">
        <v>12</v>
      </c>
      <c r="C5" s="4">
        <v>4</v>
      </c>
      <c r="D5" s="3">
        <v>5</v>
      </c>
      <c r="E5" s="3">
        <f>PRODUCT(C5,D5)</f>
        <v>20</v>
      </c>
    </row>
    <row r="6" spans="1:5">
      <c r="A6" s="2" t="s">
        <v>10</v>
      </c>
      <c r="B6" s="2" t="s">
        <v>11</v>
      </c>
      <c r="C6" s="4">
        <v>7</v>
      </c>
      <c r="D6" s="3">
        <v>8.5</v>
      </c>
      <c r="E6" s="3">
        <f>PRODUCT(C6,D6)</f>
        <v>59.5</v>
      </c>
    </row>
    <row r="7" spans="1:5">
      <c r="A7" s="2" t="s">
        <v>13</v>
      </c>
      <c r="B7" s="2" t="s">
        <v>16</v>
      </c>
      <c r="C7" s="4">
        <v>5</v>
      </c>
      <c r="D7" s="3">
        <v>1.2</v>
      </c>
      <c r="E7" s="3">
        <f>PRODUCT(C7,D7)</f>
        <v>6</v>
      </c>
    </row>
    <row r="8" spans="1:5">
      <c r="A8" s="2" t="s">
        <v>13</v>
      </c>
      <c r="B8" s="2" t="s">
        <v>15</v>
      </c>
      <c r="C8" s="4">
        <v>3</v>
      </c>
      <c r="D8" s="3">
        <v>2.6</v>
      </c>
      <c r="E8" s="3">
        <f>PRODUCT(C8,D8)</f>
        <v>7.8000000000000007</v>
      </c>
    </row>
    <row r="9" spans="1:5">
      <c r="A9" s="2" t="s">
        <v>13</v>
      </c>
      <c r="B9" s="2" t="s">
        <v>14</v>
      </c>
      <c r="C9" s="4">
        <v>4</v>
      </c>
      <c r="D9" s="3">
        <v>1.8</v>
      </c>
      <c r="E9" s="3">
        <f>PRODUCT(C9,D9)</f>
        <v>7.2</v>
      </c>
    </row>
    <row r="10" spans="1:5">
      <c r="A10" s="2" t="s">
        <v>5</v>
      </c>
      <c r="B10" s="2" t="s">
        <v>6</v>
      </c>
      <c r="C10" s="4">
        <v>12</v>
      </c>
      <c r="D10" s="3">
        <v>6.5</v>
      </c>
      <c r="E10" s="3">
        <f>PRODUCT(C10,D10)</f>
        <v>78</v>
      </c>
    </row>
    <row r="11" spans="1:5">
      <c r="A11" s="2" t="s">
        <v>5</v>
      </c>
      <c r="B11" s="2" t="s">
        <v>9</v>
      </c>
      <c r="C11" s="4">
        <v>8</v>
      </c>
      <c r="D11" s="3">
        <v>7.8</v>
      </c>
      <c r="E11" s="3">
        <f>PRODUCT(C11,D11)</f>
        <v>62.4</v>
      </c>
    </row>
    <row r="12" spans="1:5">
      <c r="A12" s="2" t="s">
        <v>5</v>
      </c>
      <c r="B12" s="2" t="s">
        <v>18</v>
      </c>
      <c r="C12" s="4">
        <v>8</v>
      </c>
      <c r="D12" s="3">
        <v>12</v>
      </c>
      <c r="E12" s="3">
        <f>PRODUCT(C12,D12)</f>
        <v>96</v>
      </c>
    </row>
    <row r="13" spans="1:5">
      <c r="A13" s="2" t="s">
        <v>5</v>
      </c>
      <c r="B13" s="2" t="s">
        <v>23</v>
      </c>
      <c r="C13" s="4">
        <v>1</v>
      </c>
      <c r="D13" s="3">
        <v>1.8</v>
      </c>
      <c r="E13" s="3">
        <f>PRODUCT(C13,D13)</f>
        <v>1.8</v>
      </c>
    </row>
    <row r="14" spans="1:5">
      <c r="A14" s="2" t="s">
        <v>19</v>
      </c>
      <c r="B14" s="2" t="s">
        <v>21</v>
      </c>
      <c r="C14" s="4">
        <v>6</v>
      </c>
      <c r="D14" s="3">
        <v>6.5</v>
      </c>
      <c r="E14" s="3">
        <f>PRODUCT(C14,D14)</f>
        <v>39</v>
      </c>
    </row>
    <row r="15" spans="1:5">
      <c r="A15" s="2" t="s">
        <v>19</v>
      </c>
      <c r="B15" s="2" t="s">
        <v>20</v>
      </c>
      <c r="C15" s="4">
        <v>6</v>
      </c>
      <c r="D15" s="3">
        <v>2.5</v>
      </c>
      <c r="E15" s="3">
        <f>PRODUCT(C15,D15)</f>
        <v>15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2C93-BF09-410A-BF6F-F6BF42C1C868}">
  <dimension ref="A1:E20"/>
  <sheetViews>
    <sheetView tabSelected="1" workbookViewId="0">
      <selection activeCell="G12" sqref="G12"/>
    </sheetView>
  </sheetViews>
  <sheetFormatPr defaultRowHeight="15"/>
  <cols>
    <col min="1" max="1" width="20" bestFit="1" customWidth="1"/>
    <col min="2" max="2" width="26.7109375" customWidth="1"/>
    <col min="3" max="3" width="10.140625" customWidth="1"/>
    <col min="4" max="4" width="11.42578125" customWidth="1"/>
    <col min="5" max="5" width="12" customWidth="1"/>
  </cols>
  <sheetData>
    <row r="1" spans="1:5" ht="32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>
      <c r="A2" s="2" t="s">
        <v>5</v>
      </c>
      <c r="B2" s="2" t="s">
        <v>6</v>
      </c>
      <c r="C2" s="2">
        <v>12</v>
      </c>
      <c r="D2" s="8">
        <v>6.5</v>
      </c>
      <c r="E2" s="8">
        <f>PRODUCT(C2:D2)</f>
        <v>78</v>
      </c>
    </row>
    <row r="3" spans="1:5">
      <c r="A3" s="2" t="s">
        <v>7</v>
      </c>
      <c r="B3" s="2" t="s">
        <v>8</v>
      </c>
      <c r="C3" s="2">
        <v>10</v>
      </c>
      <c r="D3" s="8">
        <v>4.8</v>
      </c>
      <c r="E3" s="8">
        <f t="shared" ref="E3:E15" si="0">PRODUCT(C3:D3)</f>
        <v>48</v>
      </c>
    </row>
    <row r="4" spans="1:5">
      <c r="A4" s="2" t="s">
        <v>5</v>
      </c>
      <c r="B4" s="2" t="s">
        <v>9</v>
      </c>
      <c r="C4" s="2">
        <v>8</v>
      </c>
      <c r="D4" s="8">
        <v>7.8</v>
      </c>
      <c r="E4" s="8">
        <f t="shared" si="0"/>
        <v>62.4</v>
      </c>
    </row>
    <row r="5" spans="1:5">
      <c r="A5" s="2" t="s">
        <v>10</v>
      </c>
      <c r="B5" s="2" t="s">
        <v>11</v>
      </c>
      <c r="C5" s="2">
        <v>7</v>
      </c>
      <c r="D5" s="8">
        <v>8.5</v>
      </c>
      <c r="E5" s="8">
        <f t="shared" si="0"/>
        <v>59.5</v>
      </c>
    </row>
    <row r="6" spans="1:5">
      <c r="A6" s="2" t="s">
        <v>10</v>
      </c>
      <c r="B6" s="2" t="s">
        <v>12</v>
      </c>
      <c r="C6" s="2">
        <v>4</v>
      </c>
      <c r="D6" s="8">
        <v>5</v>
      </c>
      <c r="E6" s="8">
        <f t="shared" si="0"/>
        <v>20</v>
      </c>
    </row>
    <row r="7" spans="1:5">
      <c r="A7" s="2" t="s">
        <v>13</v>
      </c>
      <c r="B7" s="2" t="s">
        <v>14</v>
      </c>
      <c r="C7" s="2">
        <v>4</v>
      </c>
      <c r="D7" s="8">
        <v>1.8</v>
      </c>
      <c r="E7" s="8">
        <f t="shared" si="0"/>
        <v>7.2</v>
      </c>
    </row>
    <row r="8" spans="1:5">
      <c r="A8" s="2" t="s">
        <v>13</v>
      </c>
      <c r="B8" s="2" t="s">
        <v>15</v>
      </c>
      <c r="C8" s="2">
        <v>3</v>
      </c>
      <c r="D8" s="8">
        <v>2.6</v>
      </c>
      <c r="E8" s="8">
        <f t="shared" si="0"/>
        <v>7.8000000000000007</v>
      </c>
    </row>
    <row r="9" spans="1:5">
      <c r="A9" s="2" t="s">
        <v>13</v>
      </c>
      <c r="B9" s="2" t="s">
        <v>16</v>
      </c>
      <c r="C9" s="2">
        <v>5</v>
      </c>
      <c r="D9" s="8">
        <v>1.2</v>
      </c>
      <c r="E9" s="8">
        <f t="shared" si="0"/>
        <v>6</v>
      </c>
    </row>
    <row r="10" spans="1:5">
      <c r="A10" s="2" t="s">
        <v>7</v>
      </c>
      <c r="B10" s="2" t="s">
        <v>17</v>
      </c>
      <c r="C10" s="2">
        <v>2</v>
      </c>
      <c r="D10" s="8">
        <v>9.4</v>
      </c>
      <c r="E10" s="8">
        <f t="shared" si="0"/>
        <v>18.8</v>
      </c>
    </row>
    <row r="11" spans="1:5">
      <c r="A11" s="2" t="s">
        <v>5</v>
      </c>
      <c r="B11" s="2" t="s">
        <v>18</v>
      </c>
      <c r="C11" s="2">
        <v>8</v>
      </c>
      <c r="D11" s="8">
        <v>12</v>
      </c>
      <c r="E11" s="8">
        <f t="shared" si="0"/>
        <v>96</v>
      </c>
    </row>
    <row r="12" spans="1:5">
      <c r="A12" s="2" t="s">
        <v>19</v>
      </c>
      <c r="B12" s="2" t="s">
        <v>20</v>
      </c>
      <c r="C12" s="2">
        <v>6</v>
      </c>
      <c r="D12" s="8">
        <v>2.5</v>
      </c>
      <c r="E12" s="8">
        <f t="shared" si="0"/>
        <v>15</v>
      </c>
    </row>
    <row r="13" spans="1:5">
      <c r="A13" s="2" t="s">
        <v>19</v>
      </c>
      <c r="B13" s="2" t="s">
        <v>21</v>
      </c>
      <c r="C13" s="2">
        <v>6</v>
      </c>
      <c r="D13" s="8">
        <v>6.5</v>
      </c>
      <c r="E13" s="8">
        <f t="shared" si="0"/>
        <v>39</v>
      </c>
    </row>
    <row r="14" spans="1:5">
      <c r="A14" s="2" t="s">
        <v>7</v>
      </c>
      <c r="B14" s="2" t="s">
        <v>22</v>
      </c>
      <c r="C14" s="2">
        <v>2</v>
      </c>
      <c r="D14" s="8">
        <v>2.4</v>
      </c>
      <c r="E14" s="8">
        <f t="shared" si="0"/>
        <v>4.8</v>
      </c>
    </row>
    <row r="15" spans="1:5">
      <c r="A15" s="2" t="s">
        <v>5</v>
      </c>
      <c r="B15" s="2" t="s">
        <v>23</v>
      </c>
      <c r="C15" s="2">
        <v>1</v>
      </c>
      <c r="D15" s="8">
        <v>1.8</v>
      </c>
      <c r="E15" s="8">
        <f t="shared" si="0"/>
        <v>1.8</v>
      </c>
    </row>
    <row r="18" spans="1:2">
      <c r="A18" t="s">
        <v>28</v>
      </c>
      <c r="B18" s="5">
        <f>SUMIFS(E2:E15,A2:A15,"C",C2:C15,"&lt;10")</f>
        <v>23.6</v>
      </c>
    </row>
    <row r="19" spans="1:2">
      <c r="A19" t="s">
        <v>29</v>
      </c>
      <c r="B19" s="9">
        <f>COUNTIFS(A2:A15,"R",D2:D15,"&lt;2000",C2:C15,"&lt;4")</f>
        <v>1</v>
      </c>
    </row>
    <row r="20" spans="1:2">
      <c r="A20" t="s">
        <v>30</v>
      </c>
      <c r="B20" s="5">
        <f>AVERAGEIFS(E2:E15,B2:B15,"T*",D2:D15,"&lt;12000")</f>
        <v>59.550000000000004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2026-02-16T20:11:55Z</dcterms:created>
  <dcterms:modified xsi:type="dcterms:W3CDTF">2026-02-17T19:23:02Z</dcterms:modified>
  <cp:category/>
  <cp:contentStatus/>
</cp:coreProperties>
</file>