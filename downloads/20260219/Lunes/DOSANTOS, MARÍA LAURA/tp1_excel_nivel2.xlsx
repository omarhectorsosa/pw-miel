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27ECDA81-E499-4FA4-A8A1-44D69415297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1" i="1"/>
  <c r="H10" i="1"/>
  <c r="H9" i="1"/>
  <c r="H5" i="1"/>
  <c r="H13" i="1"/>
  <c r="H8" i="1"/>
  <c r="H7" i="1"/>
  <c r="H6" i="1"/>
  <c r="H16" i="1"/>
  <c r="H15" i="1"/>
  <c r="H14" i="1"/>
  <c r="G12" i="1"/>
  <c r="G11" i="1"/>
  <c r="G10" i="1"/>
  <c r="G9" i="1"/>
  <c r="G5" i="1"/>
  <c r="G13" i="1"/>
  <c r="G8" i="1"/>
  <c r="G7" i="1"/>
  <c r="G6" i="1"/>
  <c r="G16" i="1"/>
  <c r="G15" i="1"/>
  <c r="G14" i="1"/>
  <c r="F12" i="1"/>
  <c r="F11" i="1"/>
  <c r="F10" i="1"/>
  <c r="F9" i="1"/>
  <c r="F5" i="1"/>
  <c r="F13" i="1"/>
  <c r="F8" i="1"/>
  <c r="F7" i="1"/>
  <c r="F6" i="1"/>
  <c r="F16" i="1"/>
  <c r="F15" i="1"/>
  <c r="F14" i="1"/>
  <c r="B10" i="1"/>
  <c r="C10" i="1" s="1"/>
  <c r="B11" i="1"/>
  <c r="C11" i="1" s="1"/>
  <c r="B9" i="1"/>
  <c r="C9" i="1" s="1"/>
  <c r="B5" i="1"/>
  <c r="C5" i="1" s="1"/>
  <c r="B13" i="1"/>
  <c r="C13" i="1" s="1"/>
  <c r="B8" i="1"/>
  <c r="C8" i="1" s="1"/>
  <c r="I9" i="1" s="1"/>
  <c r="B7" i="1"/>
  <c r="C7" i="1" s="1"/>
  <c r="I5" i="1" s="1"/>
  <c r="B6" i="1"/>
  <c r="C6" i="1" s="1"/>
  <c r="I13" i="1" s="1"/>
  <c r="B16" i="1"/>
  <c r="C16" i="1" s="1"/>
  <c r="B15" i="1"/>
  <c r="C15" i="1" s="1"/>
  <c r="B14" i="1"/>
  <c r="C14" i="1" s="1"/>
  <c r="B12" i="1"/>
  <c r="C12" i="1" s="1"/>
  <c r="I10" i="1" l="1"/>
  <c r="I11" i="1"/>
  <c r="I6" i="1"/>
  <c r="I14" i="1"/>
  <c r="I7" i="1"/>
  <c r="I15" i="1"/>
  <c r="I8" i="1"/>
  <c r="I16" i="1"/>
  <c r="I12" i="1"/>
</calcChain>
</file>

<file path=xl/sharedStrings.xml><?xml version="1.0" encoding="utf-8"?>
<sst xmlns="http://schemas.openxmlformats.org/spreadsheetml/2006/main" count="48" uniqueCount="35">
  <si>
    <t>EXAMENES FINALES</t>
  </si>
  <si>
    <t>Codigo de materia</t>
  </si>
  <si>
    <t>materia</t>
  </si>
  <si>
    <t>departamento</t>
  </si>
  <si>
    <t>fecha de examen</t>
  </si>
  <si>
    <t>cantidad de inscriptos</t>
  </si>
  <si>
    <t>condicion</t>
  </si>
  <si>
    <t>aula asignada</t>
  </si>
  <si>
    <t>publicacion de las notas</t>
  </si>
  <si>
    <t>importe de inscripciones</t>
  </si>
  <si>
    <t>codigo de materia</t>
  </si>
  <si>
    <t>codigo de departamento</t>
  </si>
  <si>
    <t>Derecho publico</t>
  </si>
  <si>
    <t>A</t>
  </si>
  <si>
    <t>Derecho penal</t>
  </si>
  <si>
    <t>Derecho civil</t>
  </si>
  <si>
    <t>sistemas operativos I</t>
  </si>
  <si>
    <t>B</t>
  </si>
  <si>
    <t>analisis matematico</t>
  </si>
  <si>
    <t xml:space="preserve">Computacion I </t>
  </si>
  <si>
    <t xml:space="preserve">C </t>
  </si>
  <si>
    <t>Estadistica</t>
  </si>
  <si>
    <t>Computacion II</t>
  </si>
  <si>
    <t>Ingles I</t>
  </si>
  <si>
    <t>Anatomia I</t>
  </si>
  <si>
    <t>D</t>
  </si>
  <si>
    <t>biologia I</t>
  </si>
  <si>
    <t>Enfermeria</t>
  </si>
  <si>
    <t>Codigo de departamento</t>
  </si>
  <si>
    <t>Departamento</t>
  </si>
  <si>
    <t>Arancel</t>
  </si>
  <si>
    <t>Derecho</t>
  </si>
  <si>
    <t>Ingienieria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</si>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</sst>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3" borderId="0" xfId="0" applyFont="1" applyFill="1" applyAlignment="1">
      <alignment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772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72AE"/>
  </sheetPr>
  <dimension ref="A2:I16"/>
  <sheetViews>
    <sheetView tabSelected="1" workbookViewId="0">
      <selection activeCell="I5" sqref="I5"/>
    </sheetView>
  </sheetViews>
  <sheetFormatPr defaultRowHeight="15"/>
  <cols>
    <col min="1" max="1" width="8.7109375" customWidth="1"/>
    <col min="2" max="2" width="20.140625" customWidth="1"/>
    <col min="3" max="3" width="14.28515625" style="1" customWidth="1"/>
    <col min="4" max="4" width="14.7109375" bestFit="1" customWidth="1"/>
    <col min="5" max="5" width="15.140625" customWidth="1"/>
    <col min="6" max="6" width="9.28515625" bestFit="1" customWidth="1"/>
    <col min="7" max="7" width="10.5703125" customWidth="1"/>
    <col min="8" max="8" width="21.7109375" bestFit="1" customWidth="1"/>
    <col min="9" max="9" width="16.28515625" customWidth="1"/>
  </cols>
  <sheetData>
    <row r="2" spans="1:9">
      <c r="A2" s="11" t="s">
        <v>0</v>
      </c>
      <c r="B2" s="11"/>
      <c r="C2" s="11"/>
      <c r="D2" s="11"/>
      <c r="E2" s="11"/>
      <c r="F2" s="11"/>
      <c r="G2" s="11"/>
      <c r="H2" s="11"/>
      <c r="I2" s="11"/>
    </row>
    <row r="4" spans="1:9" ht="47.25" customHeight="1">
      <c r="A4" s="10" t="s">
        <v>1</v>
      </c>
      <c r="B4" s="10" t="s">
        <v>2</v>
      </c>
      <c r="C4" s="6" t="s">
        <v>3</v>
      </c>
      <c r="D4" s="10" t="s">
        <v>4</v>
      </c>
      <c r="E4" s="10" t="s">
        <v>5</v>
      </c>
      <c r="F4" s="6" t="s">
        <v>6</v>
      </c>
      <c r="G4" s="10" t="s">
        <v>7</v>
      </c>
      <c r="H4" s="10" t="s">
        <v>8</v>
      </c>
      <c r="I4" s="10" t="s">
        <v>9</v>
      </c>
    </row>
    <row r="5" spans="1:9" s="1" customFormat="1">
      <c r="A5" s="7">
        <v>1010</v>
      </c>
      <c r="B5" s="8" t="str">
        <f>_xlfn.XLOOKUP(A5, materias!$B$3:$B$15, materias!$C$3:$C$15, "No encontrado")</f>
        <v>Derecho publico</v>
      </c>
      <c r="C5" s="7" t="str">
        <f>_xlfn.XLOOKUP(_xlfn.XLOOKUP(B5,materias!$C$4:$C$15,materias!$D$4:$D$15,"NO ENCONTRADO"),departamentos!$A$4:$A$7,departamentos!$B$4:$B$7,"NO ENCONTRADO")</f>
        <v>Derecho</v>
      </c>
      <c r="D5" s="9">
        <v>42569</v>
      </c>
      <c r="E5" s="7">
        <v>202</v>
      </c>
      <c r="F5" s="7" t="str">
        <f>IF(E5&lt;150,"BAJA",IF(E5&lt;200,"NORMAL","ALTA"))</f>
        <v>ALTA</v>
      </c>
      <c r="G5" s="7">
        <f>IF(AND(E5&lt;180, D5&gt;DATE(2016,7,15)), 805, 812)</f>
        <v>812</v>
      </c>
      <c r="H5" s="9">
        <f>D5+ROUNDUP(E5/10,0)</f>
        <v>42590</v>
      </c>
      <c r="I5" s="7">
        <f>_xlfn.XLOOKUP(C5,departamentos!$B$4:$B$7,departamentos!$C$4:$C$7,"NO ENCONTRADO")*E5</f>
        <v>44440</v>
      </c>
    </row>
    <row r="6" spans="1:9" s="1" customFormat="1">
      <c r="A6" s="7">
        <v>1280</v>
      </c>
      <c r="B6" s="8" t="str">
        <f>_xlfn.XLOOKUP(A6, materias!$B$3:$B$15, materias!$C$3:$C$15, "No encontrado")</f>
        <v>Derecho penal</v>
      </c>
      <c r="C6" s="7" t="str">
        <f>_xlfn.XLOOKUP(_xlfn.XLOOKUP(B6,materias!$C$4:$C$15,materias!$D$4:$D$15,"NO ENCONTRADO"),departamentos!$A$4:$A$7,departamentos!$B$4:$B$7,"NO ENCONTRADO")</f>
        <v>Derecho</v>
      </c>
      <c r="D6" s="9">
        <v>42572</v>
      </c>
      <c r="E6" s="7">
        <v>168</v>
      </c>
      <c r="F6" s="7" t="str">
        <f>IF(E6&lt;150,"BAJA",IF(E6&lt;200,"NORMAL","ALTA"))</f>
        <v>NORMAL</v>
      </c>
      <c r="G6" s="7">
        <f>IF(AND(E6&lt;180, D6&gt;DATE(2016,7,15)), 805, 812)</f>
        <v>805</v>
      </c>
      <c r="H6" s="9">
        <f>D6+ROUNDUP(E6/10,0)</f>
        <v>42589</v>
      </c>
      <c r="I6" s="7">
        <f>_xlfn.XLOOKUP(C6,departamentos!$B$4:$B$7,departamentos!$C$4:$C$7,"NO ENCONTRADO")*E6</f>
        <v>36960</v>
      </c>
    </row>
    <row r="7" spans="1:9" s="1" customFormat="1">
      <c r="A7" s="7">
        <v>1420</v>
      </c>
      <c r="B7" s="8" t="str">
        <f>_xlfn.XLOOKUP(A7, materias!$B$3:$B$15, materias!$C$3:$C$15, "No encontrado")</f>
        <v>Derecho civil</v>
      </c>
      <c r="C7" s="7" t="str">
        <f>_xlfn.XLOOKUP(_xlfn.XLOOKUP(B7,materias!$C$4:$C$15,materias!$D$4:$D$15,"NO ENCONTRADO"),departamentos!$A$4:$A$7,departamentos!$B$4:$B$7,"NO ENCONTRADO")</f>
        <v>Derecho</v>
      </c>
      <c r="D7" s="9">
        <v>42564</v>
      </c>
      <c r="E7" s="7">
        <v>136</v>
      </c>
      <c r="F7" s="7" t="str">
        <f>IF(E7&lt;150,"BAJA",IF(E7&lt;200,"NORMAL","ALTA"))</f>
        <v>BAJA</v>
      </c>
      <c r="G7" s="7">
        <f>IF(AND(E7&lt;180, D7&gt;DATE(2016,7,15)), 805, 812)</f>
        <v>812</v>
      </c>
      <c r="H7" s="9">
        <f>D7+ROUNDUP(E7/10,0)</f>
        <v>42578</v>
      </c>
      <c r="I7" s="7">
        <f>_xlfn.XLOOKUP(C7,departamentos!$B$4:$B$7,departamentos!$C$4:$C$7,"NO ENCONTRADO")*E7</f>
        <v>29920</v>
      </c>
    </row>
    <row r="8" spans="1:9" s="1" customFormat="1">
      <c r="A8" s="7">
        <v>1300</v>
      </c>
      <c r="B8" s="8" t="str">
        <f>_xlfn.XLOOKUP(A8, materias!$B$3:$B$15, materias!$C$3:$C$15, "No encontrado")</f>
        <v>Ingles I</v>
      </c>
      <c r="C8" s="7" t="str">
        <f>_xlfn.XLOOKUP(_xlfn.XLOOKUP(B8,materias!$C$4:$C$15,materias!$D$4:$D$15,"NO ENCONTRADO"),departamentos!$A$4:$A$7,departamentos!$B$4:$B$7,"NO ENCONTRADO")</f>
        <v>Economicas</v>
      </c>
      <c r="D8" s="9">
        <v>42578</v>
      </c>
      <c r="E8" s="7">
        <v>215</v>
      </c>
      <c r="F8" s="7" t="str">
        <f>IF(E8&lt;150,"BAJA",IF(E8&lt;200,"NORMAL","ALTA"))</f>
        <v>ALTA</v>
      </c>
      <c r="G8" s="7">
        <f>IF(AND(E8&lt;180, D8&gt;DATE(2016,7,15)), 805, 812)</f>
        <v>812</v>
      </c>
      <c r="H8" s="9">
        <f>D8+ROUNDUP(E8/10,0)</f>
        <v>42600</v>
      </c>
      <c r="I8" s="7">
        <f>_xlfn.XLOOKUP(C8,departamentos!$B$4:$B$7,departamentos!$C$4:$C$7,"NO ENCONTRADO")*E8</f>
        <v>53750</v>
      </c>
    </row>
    <row r="9" spans="1:9" s="1" customFormat="1">
      <c r="A9" s="7">
        <v>1250</v>
      </c>
      <c r="B9" s="8" t="str">
        <f>_xlfn.XLOOKUP(A9, materias!$B$3:$B$15, materias!$C$3:$C$15, "No encontrado")</f>
        <v>Computacion II</v>
      </c>
      <c r="C9" s="7" t="str">
        <f>_xlfn.XLOOKUP(_xlfn.XLOOKUP(B9,materias!$C$4:$C$15,materias!$D$4:$D$15,"NO ENCONTRADO"),departamentos!$A$4:$A$7,departamentos!$B$4:$B$7,"NO ENCONTRADO")</f>
        <v>Economicas</v>
      </c>
      <c r="D9" s="9">
        <v>42558</v>
      </c>
      <c r="E9" s="7">
        <v>196</v>
      </c>
      <c r="F9" s="7" t="str">
        <f>IF(E9&lt;150,"BAJA",IF(E9&lt;200,"NORMAL","ALTA"))</f>
        <v>NORMAL</v>
      </c>
      <c r="G9" s="7">
        <f>IF(AND(E9&lt;180, D9&gt;DATE(2016,7,15)), 805, 812)</f>
        <v>812</v>
      </c>
      <c r="H9" s="9">
        <f>D9+ROUNDUP(E9/10,0)</f>
        <v>42578</v>
      </c>
      <c r="I9" s="7">
        <f>_xlfn.XLOOKUP(C9,departamentos!$B$4:$B$7,departamentos!$C$4:$C$7,"NO ENCONTRADO")*E9</f>
        <v>49000</v>
      </c>
    </row>
    <row r="10" spans="1:9" s="1" customFormat="1">
      <c r="A10" s="7">
        <v>1150</v>
      </c>
      <c r="B10" s="8" t="str">
        <f>_xlfn.XLOOKUP(A10, materias!$B$3:$B$15, materias!$C$3:$C$15, "No encontrado")</f>
        <v xml:space="preserve">Computacion I </v>
      </c>
      <c r="C10" s="7" t="str">
        <f>_xlfn.XLOOKUP(_xlfn.XLOOKUP(B10,materias!$C$4:$C$15,materias!$D$4:$D$15,"NO ENCONTRADO"),departamentos!$A$4:$A$7,departamentos!$B$4:$B$7,"NO ENCONTRADO")</f>
        <v>Economicas</v>
      </c>
      <c r="D10" s="9">
        <v>42562</v>
      </c>
      <c r="E10" s="7">
        <v>175</v>
      </c>
      <c r="F10" s="7" t="str">
        <f>IF(E10&lt;150,"BAJA",IF(E10&lt;200,"NORMAL","ALTA"))</f>
        <v>NORMAL</v>
      </c>
      <c r="G10" s="7">
        <f>IF(AND(E10&lt;180, D10&gt;DATE(2016,7,15)), 805, 812)</f>
        <v>812</v>
      </c>
      <c r="H10" s="9">
        <f>D10+ROUNDUP(E10/10,0)</f>
        <v>42580</v>
      </c>
      <c r="I10" s="7">
        <f>_xlfn.XLOOKUP(C10,departamentos!$B$4:$B$7,departamentos!$C$4:$C$7,"NO ENCONTRADO")*E10</f>
        <v>43750</v>
      </c>
    </row>
    <row r="11" spans="1:9" s="1" customFormat="1">
      <c r="A11" s="7">
        <v>1200</v>
      </c>
      <c r="B11" s="8" t="str">
        <f>_xlfn.XLOOKUP(A11, materias!$B$3:$B$15, materias!$C$3:$C$15, "No encontrado")</f>
        <v>Estadistica</v>
      </c>
      <c r="C11" s="7" t="str">
        <f>_xlfn.XLOOKUP(_xlfn.XLOOKUP(B11,materias!$C$4:$C$15,materias!$D$4:$D$15,"NO ENCONTRADO"),departamentos!$A$4:$A$7,departamentos!$B$4:$B$7,"NO ENCONTRADO")</f>
        <v>Economicas</v>
      </c>
      <c r="D11" s="9">
        <v>42571</v>
      </c>
      <c r="E11" s="7">
        <v>158</v>
      </c>
      <c r="F11" s="7" t="str">
        <f>IF(E11&lt;150,"BAJA",IF(E11&lt;200,"NORMAL","ALTA"))</f>
        <v>NORMAL</v>
      </c>
      <c r="G11" s="7">
        <f>IF(AND(E11&lt;180, D11&gt;DATE(2016,7,15)), 805, 812)</f>
        <v>805</v>
      </c>
      <c r="H11" s="9">
        <f>D11+ROUNDUP(E11/10,0)</f>
        <v>42587</v>
      </c>
      <c r="I11" s="7">
        <f>_xlfn.XLOOKUP(C11,departamentos!$B$4:$B$7,departamentos!$C$4:$C$7,"NO ENCONTRADO")*E11</f>
        <v>39500</v>
      </c>
    </row>
    <row r="12" spans="1:9" s="1" customFormat="1">
      <c r="A12" s="7">
        <v>1120</v>
      </c>
      <c r="B12" s="8" t="str">
        <f>_xlfn.XLOOKUP(A12, materias!$B$3:$B$15, materias!$C$3:$C$15, "No encontrado")</f>
        <v>analisis matematico</v>
      </c>
      <c r="C12" s="7" t="str">
        <f>_xlfn.XLOOKUP(_xlfn.XLOOKUP(B12,materias!$C$4:$C$15,materias!$D$4:$D$15,"NO ENCONTRADO"),departamentos!$A$4:$A$7,departamentos!$B$4:$B$7,"NO ENCONTRADO")</f>
        <v>Ingienieria</v>
      </c>
      <c r="D12" s="9">
        <v>42566</v>
      </c>
      <c r="E12" s="7">
        <v>232</v>
      </c>
      <c r="F12" s="7" t="str">
        <f>IF(E12&lt;150,"BAJA",IF(E12&lt;200,"NORMAL","ALTA"))</f>
        <v>ALTA</v>
      </c>
      <c r="G12" s="7">
        <f>IF(AND(E12&lt;180, D12&gt;DATE(2016,7,15)), 805, 812)</f>
        <v>812</v>
      </c>
      <c r="H12" s="9">
        <f>D12+ROUNDUP(E12/10,0)</f>
        <v>42590</v>
      </c>
      <c r="I12" s="7">
        <f>_xlfn.XLOOKUP(C12,departamentos!$B$4:$B$7,departamentos!$C$4:$C$7,"NO ENCONTRADO")*E12</f>
        <v>41760</v>
      </c>
    </row>
    <row r="13" spans="1:9" s="1" customFormat="1">
      <c r="A13" s="7">
        <v>1080</v>
      </c>
      <c r="B13" s="8" t="str">
        <f>_xlfn.XLOOKUP(A13, materias!$B$3:$B$15, materias!$C$3:$C$15, "No encontrado")</f>
        <v>sistemas operativos I</v>
      </c>
      <c r="C13" s="7" t="str">
        <f>_xlfn.XLOOKUP(_xlfn.XLOOKUP(B13,materias!$C$4:$C$15,materias!$D$4:$D$15,"NO ENCONTRADO"),departamentos!$A$4:$A$7,departamentos!$B$4:$B$7,"NO ENCONTRADO")</f>
        <v>Ingienieria</v>
      </c>
      <c r="D13" s="9">
        <v>42574</v>
      </c>
      <c r="E13" s="7">
        <v>141</v>
      </c>
      <c r="F13" s="7" t="str">
        <f>IF(E13&lt;150,"BAJA",IF(E13&lt;200,"NORMAL","ALTA"))</f>
        <v>BAJA</v>
      </c>
      <c r="G13" s="7">
        <f>IF(AND(E13&lt;180, D13&gt;DATE(2016,7,15)), 805, 812)</f>
        <v>805</v>
      </c>
      <c r="H13" s="9">
        <f>D13+ROUNDUP(E13/10,0)</f>
        <v>42589</v>
      </c>
      <c r="I13" s="7">
        <f>_xlfn.XLOOKUP(C13,departamentos!$B$4:$B$7,departamentos!$C$4:$C$7,"NO ENCONTRADO")*E13</f>
        <v>25380</v>
      </c>
    </row>
    <row r="14" spans="1:9" s="1" customFormat="1">
      <c r="A14" s="7">
        <v>1860</v>
      </c>
      <c r="B14" s="8" t="str">
        <f>_xlfn.XLOOKUP(A14, materias!$B$3:$B$15, materias!$C$3:$C$15, "No encontrado")</f>
        <v>Enfermeria</v>
      </c>
      <c r="C14" s="7" t="str">
        <f>_xlfn.XLOOKUP(_xlfn.XLOOKUP(B14,materias!$C$4:$C$15,materias!$D$4:$D$15,"NO ENCONTRADO"),departamentos!$A$4:$A$7,departamentos!$B$4:$B$7,"NO ENCONTRADO")</f>
        <v>Medicina</v>
      </c>
      <c r="D14" s="9">
        <v>42575</v>
      </c>
      <c r="E14" s="7">
        <v>171</v>
      </c>
      <c r="F14" s="7" t="str">
        <f>IF(E14&lt;150,"BAJA",IF(E14&lt;200,"NORMAL","ALTA"))</f>
        <v>NORMAL</v>
      </c>
      <c r="G14" s="7">
        <f>IF(AND(E14&lt;180, D14&gt;DATE(2016,7,15)), 805, 812)</f>
        <v>805</v>
      </c>
      <c r="H14" s="9">
        <f>D14+ROUNDUP(E14/10,0)</f>
        <v>42593</v>
      </c>
      <c r="I14" s="7">
        <f>_xlfn.XLOOKUP(C14,departamentos!$B$4:$B$7,departamentos!$C$4:$C$7,"NO ENCONTRADO")*E14</f>
        <v>51300</v>
      </c>
    </row>
    <row r="15" spans="1:9" s="1" customFormat="1">
      <c r="A15" s="7">
        <v>1850</v>
      </c>
      <c r="B15" s="8" t="str">
        <f>_xlfn.XLOOKUP(A15, materias!$B$3:$B$15, materias!$C$3:$C$15, "No encontrado")</f>
        <v>biologia I</v>
      </c>
      <c r="C15" s="7" t="str">
        <f>_xlfn.XLOOKUP(_xlfn.XLOOKUP(B15,materias!$C$4:$C$15,materias!$D$4:$D$15,"NO ENCONTRADO"),departamentos!$A$4:$A$7,departamentos!$B$4:$B$7,"NO ENCONTRADO")</f>
        <v>Medicina</v>
      </c>
      <c r="D15" s="9">
        <v>42574</v>
      </c>
      <c r="E15" s="7">
        <v>170</v>
      </c>
      <c r="F15" s="7" t="str">
        <f>IF(E15&lt;150,"BAJA",IF(E15&lt;200,"NORMAL","ALTA"))</f>
        <v>NORMAL</v>
      </c>
      <c r="G15" s="7">
        <f>IF(AND(E15&lt;180, D15&gt;DATE(2016,7,15)), 805, 812)</f>
        <v>805</v>
      </c>
      <c r="H15" s="9">
        <f>D15+ROUNDUP(E15/10,0)</f>
        <v>42591</v>
      </c>
      <c r="I15" s="7">
        <f>_xlfn.XLOOKUP(C15,departamentos!$B$4:$B$7,departamentos!$C$4:$C$7,"NO ENCONTRADO")*E15</f>
        <v>51000</v>
      </c>
    </row>
    <row r="16" spans="1:9" s="1" customFormat="1">
      <c r="A16" s="7">
        <v>1825</v>
      </c>
      <c r="B16" s="8" t="str">
        <f>_xlfn.XLOOKUP(A16, materias!$B$3:$B$15, materias!$C$3:$C$15, "No encontrado")</f>
        <v>Anatomia I</v>
      </c>
      <c r="C16" s="7" t="str">
        <f>_xlfn.XLOOKUP(_xlfn.XLOOKUP(B16,materias!$C$4:$C$15,materias!$D$4:$D$15,"NO ENCONTRADO"),departamentos!$A$4:$A$7,departamentos!$B$4:$B$7,"NO ENCONTRADO")</f>
        <v>Medicina</v>
      </c>
      <c r="D16" s="9">
        <v>42573</v>
      </c>
      <c r="E16" s="7">
        <v>169</v>
      </c>
      <c r="F16" s="7" t="str">
        <f>IF(E16&lt;150,"BAJA",IF(E16&lt;200,"NORMAL","ALTA"))</f>
        <v>NORMAL</v>
      </c>
      <c r="G16" s="7">
        <f>IF(AND(E16&lt;180, D16&gt;DATE(2016,7,15)), 805, 812)</f>
        <v>805</v>
      </c>
      <c r="H16" s="9">
        <f>D16+ROUNDUP(E16/10,0)</f>
        <v>42590</v>
      </c>
      <c r="I16" s="7">
        <f>_xlfn.XLOOKUP(C16,departamentos!$B$4:$B$7,departamentos!$C$4:$C$7,"NO ENCONTRADO")*E16</f>
        <v>50700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AAEE-3D37-4A2E-9D79-DCAFB3797C49}">
  <sheetPr>
    <tabColor rgb="FFFFC000"/>
  </sheetPr>
  <dimension ref="B3:D15"/>
  <sheetViews>
    <sheetView workbookViewId="0">
      <selection activeCell="D11" sqref="D11"/>
    </sheetView>
  </sheetViews>
  <sheetFormatPr defaultRowHeight="15"/>
  <cols>
    <col min="2" max="2" width="16.140625" bestFit="1" customWidth="1"/>
    <col min="3" max="3" width="19.140625" bestFit="1" customWidth="1"/>
    <col min="4" max="4" width="36.5703125" bestFit="1" customWidth="1"/>
  </cols>
  <sheetData>
    <row r="3" spans="2:4" ht="32.25" customHeight="1">
      <c r="B3" s="5" t="s">
        <v>10</v>
      </c>
      <c r="C3" s="5" t="s">
        <v>2</v>
      </c>
      <c r="D3" s="5" t="s">
        <v>11</v>
      </c>
    </row>
    <row r="4" spans="2:4">
      <c r="B4" s="4">
        <v>1010</v>
      </c>
      <c r="C4" s="4" t="s">
        <v>12</v>
      </c>
      <c r="D4" s="4" t="s">
        <v>13</v>
      </c>
    </row>
    <row r="5" spans="2:4">
      <c r="B5" s="4">
        <v>1280</v>
      </c>
      <c r="C5" s="4" t="s">
        <v>14</v>
      </c>
      <c r="D5" s="4" t="s">
        <v>13</v>
      </c>
    </row>
    <row r="6" spans="2:4">
      <c r="B6" s="4">
        <v>1420</v>
      </c>
      <c r="C6" s="4" t="s">
        <v>15</v>
      </c>
      <c r="D6" s="4" t="s">
        <v>13</v>
      </c>
    </row>
    <row r="7" spans="2:4">
      <c r="B7" s="4">
        <v>1080</v>
      </c>
      <c r="C7" s="4" t="s">
        <v>16</v>
      </c>
      <c r="D7" s="4" t="s">
        <v>17</v>
      </c>
    </row>
    <row r="8" spans="2:4">
      <c r="B8" s="4">
        <v>1120</v>
      </c>
      <c r="C8" s="4" t="s">
        <v>18</v>
      </c>
      <c r="D8" s="4" t="s">
        <v>17</v>
      </c>
    </row>
    <row r="9" spans="2:4">
      <c r="B9" s="4">
        <v>1150</v>
      </c>
      <c r="C9" s="4" t="s">
        <v>19</v>
      </c>
      <c r="D9" s="4" t="s">
        <v>20</v>
      </c>
    </row>
    <row r="10" spans="2:4">
      <c r="B10" s="4">
        <v>1200</v>
      </c>
      <c r="C10" s="4" t="s">
        <v>21</v>
      </c>
      <c r="D10" s="4" t="s">
        <v>20</v>
      </c>
    </row>
    <row r="11" spans="2:4">
      <c r="B11" s="4">
        <v>1250</v>
      </c>
      <c r="C11" s="4" t="s">
        <v>22</v>
      </c>
      <c r="D11" s="4" t="s">
        <v>20</v>
      </c>
    </row>
    <row r="12" spans="2:4">
      <c r="B12" s="4">
        <v>1300</v>
      </c>
      <c r="C12" s="4" t="s">
        <v>23</v>
      </c>
      <c r="D12" s="4" t="s">
        <v>20</v>
      </c>
    </row>
    <row r="13" spans="2:4">
      <c r="B13" s="4">
        <v>1825</v>
      </c>
      <c r="C13" s="4" t="s">
        <v>24</v>
      </c>
      <c r="D13" s="4" t="s">
        <v>25</v>
      </c>
    </row>
    <row r="14" spans="2:4">
      <c r="B14" s="4">
        <v>1850</v>
      </c>
      <c r="C14" s="4" t="s">
        <v>26</v>
      </c>
      <c r="D14" s="4" t="s">
        <v>25</v>
      </c>
    </row>
    <row r="15" spans="2:4">
      <c r="B15" s="4">
        <v>1860</v>
      </c>
      <c r="C15" s="4" t="s">
        <v>27</v>
      </c>
      <c r="D15" s="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FB41-A789-43AE-9160-AB94F7FBCBF8}">
  <sheetPr>
    <tabColor rgb="FF00B050"/>
  </sheetPr>
  <dimension ref="A3:C7"/>
  <sheetViews>
    <sheetView workbookViewId="0">
      <selection activeCell="E14" sqref="E14"/>
    </sheetView>
  </sheetViews>
  <sheetFormatPr defaultRowHeight="15"/>
  <cols>
    <col min="1" max="1" width="22.5703125" bestFit="1" customWidth="1"/>
    <col min="2" max="2" width="13.5703125" bestFit="1" customWidth="1"/>
  </cols>
  <sheetData>
    <row r="3" spans="1:3" s="2" customFormat="1" ht="29.25" customHeight="1">
      <c r="A3" s="3" t="s">
        <v>28</v>
      </c>
      <c r="B3" s="3" t="s">
        <v>29</v>
      </c>
      <c r="C3" s="3" t="s">
        <v>30</v>
      </c>
    </row>
    <row r="4" spans="1:3">
      <c r="A4" s="4" t="s">
        <v>13</v>
      </c>
      <c r="B4" s="4" t="s">
        <v>31</v>
      </c>
      <c r="C4" s="4">
        <v>220</v>
      </c>
    </row>
    <row r="5" spans="1:3">
      <c r="A5" s="4" t="s">
        <v>17</v>
      </c>
      <c r="B5" s="4" t="s">
        <v>32</v>
      </c>
      <c r="C5" s="4">
        <v>180</v>
      </c>
    </row>
    <row r="6" spans="1:3">
      <c r="A6" s="4" t="s">
        <v>20</v>
      </c>
      <c r="B6" s="4" t="s">
        <v>33</v>
      </c>
      <c r="C6" s="4">
        <v>250</v>
      </c>
    </row>
    <row r="7" spans="1:3">
      <c r="A7" s="4" t="s">
        <v>25</v>
      </c>
      <c r="B7" s="4" t="s">
        <v>34</v>
      </c>
      <c r="C7" s="4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2026-02-09T17:08:06Z</dcterms:created>
  <dcterms:modified xsi:type="dcterms:W3CDTF">2026-02-09T20:48:44Z</dcterms:modified>
  <cp:category/>
  <cp:contentStatus/>
</cp:coreProperties>
</file>