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2C706D64-CDD9-4494-A095-D0DCDF5F37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2" i="1" l="1"/>
  <c r="V41" i="1"/>
  <c r="V40" i="1"/>
  <c r="V39" i="1"/>
  <c r="V38" i="1"/>
  <c r="V37" i="1"/>
  <c r="V36" i="1"/>
  <c r="V35" i="1"/>
  <c r="V34" i="1"/>
  <c r="V33" i="1"/>
  <c r="V5" i="1"/>
  <c r="V4" i="1"/>
  <c r="V3" i="1"/>
  <c r="V28" i="1"/>
  <c r="V27" i="1"/>
  <c r="V26" i="1"/>
  <c r="O21" i="1"/>
  <c r="O20" i="1"/>
  <c r="O19" i="1"/>
  <c r="O18" i="1"/>
  <c r="O17" i="1"/>
  <c r="O16" i="1"/>
  <c r="O15" i="1"/>
  <c r="O14" i="1"/>
  <c r="O8" i="1"/>
  <c r="O7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<sst xmlns="http://schemas.openxmlformats.org/spreadsheetml/2006/main" count="114" uniqueCount="27">
  <si>
    <t>CODIGO</t>
  </si>
  <si>
    <t>DESCRIPCION</t>
  </si>
  <si>
    <t>CANTIDAD</t>
  </si>
  <si>
    <t>PRECIO UNIT.</t>
  </si>
  <si>
    <t>TOTAL</t>
  </si>
  <si>
    <t>C</t>
  </si>
  <si>
    <t>R</t>
  </si>
  <si>
    <t>Radio AM/FM 3 bandas</t>
  </si>
  <si>
    <t>Radio onda corta</t>
  </si>
  <si>
    <t>H</t>
  </si>
  <si>
    <t>Heladera 12 pies, con freezer</t>
  </si>
  <si>
    <t>Radio con CD y mp3</t>
  </si>
  <si>
    <t>T</t>
  </si>
  <si>
    <t>TV portatil (12V)</t>
  </si>
  <si>
    <t>A</t>
  </si>
  <si>
    <t>Anafe 2 hornallas</t>
  </si>
  <si>
    <t>V</t>
  </si>
  <si>
    <t>Ventilador 25" giratorio</t>
  </si>
  <si>
    <t>Televisor 42" LED</t>
  </si>
  <si>
    <t>Cocina industrial 6 hornallas</t>
  </si>
  <si>
    <t>Televisor 42" LED 3D</t>
  </si>
  <si>
    <t>Cocina 4 hornallas</t>
  </si>
  <si>
    <t>B</t>
  </si>
  <si>
    <t>Freezer carga superior</t>
  </si>
  <si>
    <t>Televisor 32"</t>
  </si>
  <si>
    <t>Aire acondicionado F/C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</si>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</sst>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12"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workbookViewId="0">
      <selection activeCell="R25" sqref="R25"/>
    </sheetView>
  </sheetViews>
  <sheetFormatPr defaultRowHeight="15"/>
  <cols>
    <col min="2" max="2" width="27.28515625" customWidth="1"/>
    <col min="3" max="3" width="15.28515625" customWidth="1"/>
    <col min="4" max="4" width="16.140625" customWidth="1"/>
    <col min="5" max="5" width="13.42578125" customWidth="1"/>
    <col min="12" max="12" width="27.5703125" customWidth="1"/>
    <col min="13" max="13" width="11.28515625" customWidth="1"/>
    <col min="14" max="14" width="13.42578125" customWidth="1"/>
    <col min="15" max="15" width="16" customWidth="1"/>
    <col min="19" max="19" width="26.85546875" customWidth="1"/>
    <col min="21" max="21" width="15" customWidth="1"/>
    <col min="22" max="22" width="13.5703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R1" t="s">
        <v>5</v>
      </c>
    </row>
    <row r="2" spans="1:22">
      <c r="A2" s="2" t="s">
        <v>6</v>
      </c>
      <c r="B2" s="2" t="s">
        <v>7</v>
      </c>
      <c r="C2" s="2">
        <v>5</v>
      </c>
      <c r="D2" s="3">
        <v>1200</v>
      </c>
      <c r="E2" s="3">
        <f>C2*D2</f>
        <v>6000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</row>
    <row r="3" spans="1:22">
      <c r="A3" s="2" t="s">
        <v>6</v>
      </c>
      <c r="B3" s="2" t="s">
        <v>8</v>
      </c>
      <c r="C3" s="2">
        <v>4</v>
      </c>
      <c r="D3" s="3">
        <v>1800</v>
      </c>
      <c r="E3" s="3">
        <f>C3*D3</f>
        <v>7200</v>
      </c>
      <c r="R3" s="2" t="s">
        <v>6</v>
      </c>
      <c r="S3" s="2" t="s">
        <v>7</v>
      </c>
      <c r="T3" s="2">
        <v>5</v>
      </c>
      <c r="U3" s="3">
        <v>1200</v>
      </c>
      <c r="V3" s="3">
        <f>T3*U3</f>
        <v>6000</v>
      </c>
    </row>
    <row r="4" spans="1:22">
      <c r="A4" s="2" t="s">
        <v>9</v>
      </c>
      <c r="B4" s="2" t="s">
        <v>10</v>
      </c>
      <c r="C4" s="2">
        <v>7</v>
      </c>
      <c r="D4" s="3">
        <v>8500</v>
      </c>
      <c r="E4" s="3">
        <f>C4*D4</f>
        <v>59500</v>
      </c>
      <c r="R4" s="2" t="s">
        <v>6</v>
      </c>
      <c r="S4" s="2" t="s">
        <v>11</v>
      </c>
      <c r="T4" s="2">
        <v>3</v>
      </c>
      <c r="U4" s="3">
        <v>2600</v>
      </c>
      <c r="V4" s="3">
        <f>T4*U4</f>
        <v>7800</v>
      </c>
    </row>
    <row r="5" spans="1:22">
      <c r="A5" s="2" t="s">
        <v>12</v>
      </c>
      <c r="B5" s="2" t="s">
        <v>13</v>
      </c>
      <c r="C5" s="2">
        <v>1</v>
      </c>
      <c r="D5" s="3">
        <v>1800</v>
      </c>
      <c r="E5" s="3">
        <f>C5*D5</f>
        <v>1800</v>
      </c>
      <c r="K5" t="s">
        <v>14</v>
      </c>
      <c r="R5" s="2" t="s">
        <v>6</v>
      </c>
      <c r="S5" s="2" t="s">
        <v>8</v>
      </c>
      <c r="T5" s="2">
        <v>4</v>
      </c>
      <c r="U5" s="3">
        <v>1800</v>
      </c>
      <c r="V5" s="3">
        <f>T5*U5</f>
        <v>7200</v>
      </c>
    </row>
    <row r="6" spans="1:22">
      <c r="A6" s="2" t="s">
        <v>5</v>
      </c>
      <c r="B6" s="2" t="s">
        <v>15</v>
      </c>
      <c r="C6" s="2">
        <v>2</v>
      </c>
      <c r="D6" s="3">
        <v>2400</v>
      </c>
      <c r="E6" s="3">
        <f>C6*D6</f>
        <v>4800</v>
      </c>
      <c r="K6" s="1" t="s">
        <v>0</v>
      </c>
      <c r="L6" s="1" t="s">
        <v>1</v>
      </c>
      <c r="M6" s="1" t="s">
        <v>2</v>
      </c>
      <c r="N6" s="1" t="s">
        <v>3</v>
      </c>
      <c r="O6" s="1" t="s">
        <v>4</v>
      </c>
    </row>
    <row r="7" spans="1:22">
      <c r="A7" s="2" t="s">
        <v>16</v>
      </c>
      <c r="B7" s="2" t="s">
        <v>17</v>
      </c>
      <c r="C7" s="2">
        <v>6</v>
      </c>
      <c r="D7" s="3">
        <v>2500</v>
      </c>
      <c r="E7" s="3">
        <f>C7*D7</f>
        <v>15000</v>
      </c>
      <c r="K7" s="2" t="s">
        <v>12</v>
      </c>
      <c r="L7" s="2" t="s">
        <v>18</v>
      </c>
      <c r="M7" s="2">
        <v>8</v>
      </c>
      <c r="N7" s="3">
        <v>7800</v>
      </c>
      <c r="O7" s="3">
        <f t="shared" ref="O7:O8" si="0">M7*N7</f>
        <v>62400</v>
      </c>
    </row>
    <row r="8" spans="1:22">
      <c r="A8" s="2" t="s">
        <v>6</v>
      </c>
      <c r="B8" s="2" t="s">
        <v>11</v>
      </c>
      <c r="C8" s="2">
        <v>3</v>
      </c>
      <c r="D8" s="3">
        <v>2600</v>
      </c>
      <c r="E8" s="3">
        <f>C8*D8</f>
        <v>7800</v>
      </c>
      <c r="K8" s="2" t="s">
        <v>12</v>
      </c>
      <c r="L8" s="2" t="s">
        <v>13</v>
      </c>
      <c r="M8" s="2">
        <v>1</v>
      </c>
      <c r="N8" s="3">
        <v>1800</v>
      </c>
      <c r="O8" s="3">
        <f t="shared" si="0"/>
        <v>1800</v>
      </c>
    </row>
    <row r="9" spans="1:22">
      <c r="A9" s="2" t="s">
        <v>12</v>
      </c>
      <c r="B9" s="2" t="s">
        <v>18</v>
      </c>
      <c r="C9" s="2">
        <v>8</v>
      </c>
      <c r="D9" s="3">
        <v>7800</v>
      </c>
      <c r="E9" s="3">
        <f>C9*D9</f>
        <v>62400</v>
      </c>
    </row>
    <row r="10" spans="1:22">
      <c r="A10" s="2" t="s">
        <v>5</v>
      </c>
      <c r="B10" s="2" t="s">
        <v>19</v>
      </c>
      <c r="C10" s="2">
        <v>2</v>
      </c>
      <c r="D10" s="3">
        <v>9400</v>
      </c>
      <c r="E10" s="3">
        <f>C10*D10</f>
        <v>18800</v>
      </c>
    </row>
    <row r="11" spans="1:22">
      <c r="A11" s="2" t="s">
        <v>12</v>
      </c>
      <c r="B11" s="2" t="s">
        <v>20</v>
      </c>
      <c r="C11" s="2">
        <v>8</v>
      </c>
      <c r="D11" s="3">
        <v>12000</v>
      </c>
      <c r="E11" s="3">
        <f>C11*D11</f>
        <v>96000</v>
      </c>
    </row>
    <row r="12" spans="1:22">
      <c r="A12" s="2" t="s">
        <v>5</v>
      </c>
      <c r="B12" s="2" t="s">
        <v>21</v>
      </c>
      <c r="C12" s="2">
        <v>10</v>
      </c>
      <c r="D12" s="3">
        <v>4800</v>
      </c>
      <c r="E12" s="3">
        <f>C12*D12</f>
        <v>48000</v>
      </c>
      <c r="K12" t="s">
        <v>22</v>
      </c>
    </row>
    <row r="13" spans="1:22">
      <c r="A13" s="2" t="s">
        <v>9</v>
      </c>
      <c r="B13" s="2" t="s">
        <v>23</v>
      </c>
      <c r="C13" s="2">
        <v>4</v>
      </c>
      <c r="D13" s="3">
        <v>5000</v>
      </c>
      <c r="E13" s="3">
        <f>C13*D13</f>
        <v>20000</v>
      </c>
      <c r="K13" s="1" t="s">
        <v>0</v>
      </c>
      <c r="L13" s="1" t="s">
        <v>1</v>
      </c>
      <c r="M13" s="1" t="s">
        <v>2</v>
      </c>
      <c r="N13" s="1" t="s">
        <v>3</v>
      </c>
      <c r="O13" s="1" t="s">
        <v>4</v>
      </c>
    </row>
    <row r="14" spans="1:22">
      <c r="A14" s="2" t="s">
        <v>12</v>
      </c>
      <c r="B14" s="2" t="s">
        <v>24</v>
      </c>
      <c r="C14" s="2">
        <v>12</v>
      </c>
      <c r="D14" s="3">
        <v>6500</v>
      </c>
      <c r="E14" s="3">
        <f>C14*D14</f>
        <v>78000</v>
      </c>
      <c r="K14" s="2" t="s">
        <v>9</v>
      </c>
      <c r="L14" s="2" t="s">
        <v>10</v>
      </c>
      <c r="M14" s="2">
        <v>7</v>
      </c>
      <c r="N14" s="3">
        <v>8500</v>
      </c>
      <c r="O14" s="3">
        <f>M14*N14</f>
        <v>59500</v>
      </c>
    </row>
    <row r="15" spans="1:22">
      <c r="A15" s="2" t="s">
        <v>16</v>
      </c>
      <c r="B15" s="2" t="s">
        <v>25</v>
      </c>
      <c r="C15" s="2">
        <v>6</v>
      </c>
      <c r="D15" s="3">
        <v>6500</v>
      </c>
      <c r="E15" s="3">
        <f>C15*D15</f>
        <v>39000</v>
      </c>
      <c r="K15" s="2" t="s">
        <v>9</v>
      </c>
      <c r="L15" s="2" t="s">
        <v>23</v>
      </c>
      <c r="M15" s="2">
        <v>4</v>
      </c>
      <c r="N15" s="3">
        <v>5000</v>
      </c>
      <c r="O15" s="3">
        <f>M15*N15</f>
        <v>20000</v>
      </c>
    </row>
    <row r="16" spans="1:22">
      <c r="K16" s="2" t="s">
        <v>6</v>
      </c>
      <c r="L16" s="2" t="s">
        <v>8</v>
      </c>
      <c r="M16" s="2">
        <v>4</v>
      </c>
      <c r="N16" s="3">
        <v>1800</v>
      </c>
      <c r="O16" s="3">
        <f>M16*N16</f>
        <v>7200</v>
      </c>
    </row>
    <row r="17" spans="11:22">
      <c r="K17" s="2" t="s">
        <v>6</v>
      </c>
      <c r="L17" s="2" t="s">
        <v>7</v>
      </c>
      <c r="M17" s="2">
        <v>5</v>
      </c>
      <c r="N17" s="3">
        <v>1200</v>
      </c>
      <c r="O17" s="3">
        <f>M17*N17</f>
        <v>6000</v>
      </c>
    </row>
    <row r="18" spans="11:22">
      <c r="K18" s="2" t="s">
        <v>12</v>
      </c>
      <c r="L18" s="2" t="s">
        <v>18</v>
      </c>
      <c r="M18" s="2">
        <v>8</v>
      </c>
      <c r="N18" s="3">
        <v>7800</v>
      </c>
      <c r="O18" s="3">
        <f>M18*N18</f>
        <v>62400</v>
      </c>
    </row>
    <row r="19" spans="11:22">
      <c r="K19" s="2" t="s">
        <v>12</v>
      </c>
      <c r="L19" s="2" t="s">
        <v>20</v>
      </c>
      <c r="M19" s="2">
        <v>8</v>
      </c>
      <c r="N19" s="3">
        <v>12000</v>
      </c>
      <c r="O19" s="3">
        <f>M19*N19</f>
        <v>96000</v>
      </c>
    </row>
    <row r="20" spans="11:22">
      <c r="K20" s="2" t="s">
        <v>16</v>
      </c>
      <c r="L20" s="2" t="s">
        <v>17</v>
      </c>
      <c r="M20" s="2">
        <v>6</v>
      </c>
      <c r="N20" s="3">
        <v>2500</v>
      </c>
      <c r="O20" s="3">
        <f>M20*N20</f>
        <v>15000</v>
      </c>
    </row>
    <row r="21" spans="11:22">
      <c r="K21" s="2" t="s">
        <v>16</v>
      </c>
      <c r="L21" s="2" t="s">
        <v>25</v>
      </c>
      <c r="M21" s="2">
        <v>6</v>
      </c>
      <c r="N21" s="3">
        <v>6500</v>
      </c>
      <c r="O21" s="3">
        <f>M21*N21</f>
        <v>39000</v>
      </c>
    </row>
    <row r="24" spans="11:22">
      <c r="R24" t="s">
        <v>26</v>
      </c>
    </row>
    <row r="25" spans="11:22">
      <c r="R25" s="1" t="s">
        <v>0</v>
      </c>
      <c r="S25" s="1" t="s">
        <v>1</v>
      </c>
      <c r="T25" s="1" t="s">
        <v>2</v>
      </c>
      <c r="U25" s="1" t="s">
        <v>3</v>
      </c>
      <c r="V25" s="1" t="s">
        <v>4</v>
      </c>
    </row>
    <row r="26" spans="11:22">
      <c r="R26" s="2" t="s">
        <v>6</v>
      </c>
      <c r="S26" s="2" t="s">
        <v>7</v>
      </c>
      <c r="T26" s="2">
        <v>5</v>
      </c>
      <c r="U26" s="3">
        <v>1200</v>
      </c>
      <c r="V26" s="3">
        <f>T26*U26</f>
        <v>6000</v>
      </c>
    </row>
    <row r="27" spans="11:22">
      <c r="R27" s="2" t="s">
        <v>6</v>
      </c>
      <c r="S27" s="2" t="s">
        <v>11</v>
      </c>
      <c r="T27" s="2">
        <v>3</v>
      </c>
      <c r="U27" s="3">
        <v>2600</v>
      </c>
      <c r="V27" s="3">
        <f>T27*U27</f>
        <v>7800</v>
      </c>
    </row>
    <row r="28" spans="11:22">
      <c r="R28" s="2" t="s">
        <v>6</v>
      </c>
      <c r="S28" s="2" t="s">
        <v>8</v>
      </c>
      <c r="T28" s="2">
        <v>4</v>
      </c>
      <c r="U28" s="3">
        <v>1800</v>
      </c>
      <c r="V28" s="3">
        <f>T28*U28</f>
        <v>7200</v>
      </c>
    </row>
    <row r="32" spans="11:22">
      <c r="R32" s="1" t="s">
        <v>0</v>
      </c>
      <c r="S32" s="1" t="s">
        <v>1</v>
      </c>
      <c r="T32" s="1" t="s">
        <v>2</v>
      </c>
      <c r="U32" s="1" t="s">
        <v>3</v>
      </c>
      <c r="V32" s="1" t="s">
        <v>4</v>
      </c>
    </row>
    <row r="33" spans="18:22">
      <c r="R33" s="2" t="s">
        <v>6</v>
      </c>
      <c r="S33" s="2" t="s">
        <v>7</v>
      </c>
      <c r="T33" s="2">
        <v>5</v>
      </c>
      <c r="U33" s="3">
        <v>1200</v>
      </c>
      <c r="V33" s="3">
        <f>T33*U33</f>
        <v>6000</v>
      </c>
    </row>
    <row r="34" spans="18:22">
      <c r="R34" s="2" t="s">
        <v>6</v>
      </c>
      <c r="S34" s="2" t="s">
        <v>8</v>
      </c>
      <c r="T34" s="2">
        <v>4</v>
      </c>
      <c r="U34" s="3">
        <v>1800</v>
      </c>
      <c r="V34" s="3">
        <f>T34*U34</f>
        <v>7200</v>
      </c>
    </row>
    <row r="35" spans="18:22">
      <c r="R35" s="2" t="s">
        <v>12</v>
      </c>
      <c r="S35" s="2" t="s">
        <v>13</v>
      </c>
      <c r="T35" s="2">
        <v>1</v>
      </c>
      <c r="U35" s="3">
        <v>1800</v>
      </c>
      <c r="V35" s="3">
        <f>T35*U35</f>
        <v>1800</v>
      </c>
    </row>
    <row r="36" spans="18:22">
      <c r="R36" s="2" t="s">
        <v>5</v>
      </c>
      <c r="S36" s="2" t="s">
        <v>15</v>
      </c>
      <c r="T36" s="2">
        <v>2</v>
      </c>
      <c r="U36" s="3">
        <v>2400</v>
      </c>
      <c r="V36" s="3">
        <f>T36*U36</f>
        <v>4800</v>
      </c>
    </row>
    <row r="37" spans="18:22">
      <c r="R37" s="2" t="s">
        <v>16</v>
      </c>
      <c r="S37" s="2" t="s">
        <v>17</v>
      </c>
      <c r="T37" s="2">
        <v>6</v>
      </c>
      <c r="U37" s="3">
        <v>2500</v>
      </c>
      <c r="V37" s="3">
        <f>T37*U37</f>
        <v>15000</v>
      </c>
    </row>
    <row r="38" spans="18:22">
      <c r="R38" s="2" t="s">
        <v>6</v>
      </c>
      <c r="S38" s="2" t="s">
        <v>11</v>
      </c>
      <c r="T38" s="2">
        <v>3</v>
      </c>
      <c r="U38" s="3">
        <v>2600</v>
      </c>
      <c r="V38" s="3">
        <f>T38*U38</f>
        <v>7800</v>
      </c>
    </row>
    <row r="39" spans="18:22">
      <c r="R39" s="2" t="s">
        <v>5</v>
      </c>
      <c r="S39" s="2" t="s">
        <v>21</v>
      </c>
      <c r="T39" s="2">
        <v>10</v>
      </c>
      <c r="U39" s="3">
        <v>4800</v>
      </c>
      <c r="V39" s="3">
        <f>T39*U39</f>
        <v>48000</v>
      </c>
    </row>
    <row r="40" spans="18:22">
      <c r="R40" s="2" t="s">
        <v>9</v>
      </c>
      <c r="S40" s="2" t="s">
        <v>23</v>
      </c>
      <c r="T40" s="2">
        <v>4</v>
      </c>
      <c r="U40" s="3">
        <v>5000</v>
      </c>
      <c r="V40" s="3">
        <f>T40*U40</f>
        <v>20000</v>
      </c>
    </row>
    <row r="41" spans="18:22">
      <c r="R41" s="2" t="s">
        <v>12</v>
      </c>
      <c r="S41" s="2" t="s">
        <v>24</v>
      </c>
      <c r="T41" s="2">
        <v>12</v>
      </c>
      <c r="U41" s="3">
        <v>6500</v>
      </c>
      <c r="V41" s="3">
        <f>T41*U41</f>
        <v>78000</v>
      </c>
    </row>
    <row r="42" spans="18:22">
      <c r="R42" s="2" t="s">
        <v>16</v>
      </c>
      <c r="S42" s="2" t="s">
        <v>25</v>
      </c>
      <c r="T42" s="2">
        <v>6</v>
      </c>
      <c r="U42" s="3">
        <v>6500</v>
      </c>
      <c r="V42" s="3">
        <f>T42*U42</f>
        <v>39000</v>
      </c>
    </row>
  </sheetData>
  <autoFilter ref="A1:E15" xr:uid="{00000000-0001-0000-0000-000000000000}"/>
  <sortState xmlns:xlrd2="http://schemas.microsoft.com/office/spreadsheetml/2017/richdata2" ref="A2:E8">
    <sortCondition descending="1" ref="B2:B8"/>
  </sortState>
  <conditionalFormatting sqref="C2:C15">
    <cfRule type="cellIs" dxfId="11" priority="14" operator="lessThanOrEqual">
      <formula>3</formula>
    </cfRule>
  </conditionalFormatting>
  <conditionalFormatting sqref="C2:C15">
    <cfRule type="cellIs" dxfId="10" priority="13" operator="greaterThanOrEqual">
      <formula>7</formula>
    </cfRule>
  </conditionalFormatting>
  <conditionalFormatting sqref="M7:M8">
    <cfRule type="cellIs" dxfId="9" priority="10" operator="lessThanOrEqual">
      <formula>3</formula>
    </cfRule>
  </conditionalFormatting>
  <conditionalFormatting sqref="M7:M8">
    <cfRule type="cellIs" dxfId="8" priority="9" operator="greaterThanOrEqual">
      <formula>7</formula>
    </cfRule>
  </conditionalFormatting>
  <conditionalFormatting sqref="M14:M21">
    <cfRule type="cellIs" dxfId="7" priority="8" operator="lessThanOrEqual">
      <formula>3</formula>
    </cfRule>
  </conditionalFormatting>
  <conditionalFormatting sqref="M14:M21">
    <cfRule type="cellIs" dxfId="6" priority="7" operator="greaterThanOrEqual">
      <formula>7</formula>
    </cfRule>
  </conditionalFormatting>
  <conditionalFormatting sqref="T26:T28">
    <cfRule type="cellIs" dxfId="5" priority="6" operator="lessThanOrEqual">
      <formula>3</formula>
    </cfRule>
  </conditionalFormatting>
  <conditionalFormatting sqref="T26:T28">
    <cfRule type="cellIs" dxfId="4" priority="5" operator="greaterThanOrEqual">
      <formula>7</formula>
    </cfRule>
  </conditionalFormatting>
  <conditionalFormatting sqref="T3:T5">
    <cfRule type="cellIs" dxfId="3" priority="4" operator="lessThanOrEqual">
      <formula>3</formula>
    </cfRule>
  </conditionalFormatting>
  <conditionalFormatting sqref="T3:T5">
    <cfRule type="cellIs" dxfId="2" priority="3" operator="greaterThanOrEqual">
      <formula>7</formula>
    </cfRule>
  </conditionalFormatting>
  <conditionalFormatting sqref="T33:T42">
    <cfRule type="cellIs" dxfId="1" priority="2" operator="lessThanOrEqual">
      <formula>3</formula>
    </cfRule>
  </conditionalFormatting>
  <conditionalFormatting sqref="T33:T42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1:B1048576 L13:L21 L6:L8 S25:S28 S2:S5 S32:S42" xr:uid="{950F6FC5-356D-479D-9F4B-E772550B5EF4}">
      <formula1>4</formula1>
      <formula2>25</formula2>
    </dataValidation>
    <dataValidation type="list" allowBlank="1" showInputMessage="1" showErrorMessage="1" sqref="A1:A1048576 K13:K21 K6:K8 R25:R28 R2:R5 R32:R42" xr:uid="{7730F843-F867-4088-A7CD-A0F0A157A1CE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2026-02-19T15:59:13Z</dcterms:created>
  <dcterms:modified xsi:type="dcterms:W3CDTF">2026-02-19T16:22:47Z</dcterms:modified>
  <cp:category/>
  <cp:contentStatus/>
</cp:coreProperties>
</file>