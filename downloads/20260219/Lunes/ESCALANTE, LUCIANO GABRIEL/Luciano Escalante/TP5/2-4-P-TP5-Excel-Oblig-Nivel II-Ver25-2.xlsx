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upos tematicos\Material\Excel\TPs Excel - Archivos Complementarios\Nivel 2\"/>
    </mc:Choice>
  </mc:AlternateContent>
  <xr:revisionPtr revIDLastSave="0" documentId="8_{AA233BA3-988A-4E63-B86B-8123DF21A136}" xr6:coauthVersionLast="47" xr6:coauthVersionMax="47" xr10:uidLastSave="{00000000-0000-0000-0000-000000000000}"/>
  <workbookProtection workbookAlgorithmName="SHA-512" workbookHashValue="F7VmSPA6ELIXbxMlhYy3G0DqxNpb5/CUi1HCiFlBzCYSXWwHHuHLEz3UNnSQIvIJGgcbzkHMRUmUjhdmiYkj7w==" workbookSaltValue="vNCMec3sn9Y55Z+7R5nRVw==" workbookSpinCount="100000" lockStructure="1"/>
  <bookViews>
    <workbookView xWindow="-108" yWindow="-108" windowWidth="23256" windowHeight="12576" xr2:uid="{9BB01F31-5B6C-4915-92D5-A3CF5317CAA7}"/>
  </bookViews>
  <sheets>
    <sheet name="Datos personales" sheetId="13" r:id="rId1"/>
    <sheet name="Ejercicio 1" sheetId="2" r:id="rId2"/>
    <sheet name="Ejercicio 2" sheetId="4" r:id="rId3"/>
    <sheet name="Ejercicio 3" sheetId="5" r:id="rId4"/>
    <sheet name="Ejercicio 4" sheetId="7" r:id="rId5"/>
    <sheet name="Ejercicio 5" sheetId="10" r:id="rId6"/>
    <sheet name="Ejercicio 6" sheetId="12" r:id="rId7"/>
  </sheets>
  <definedNames>
    <definedName name="A1.">'Datos personales'!$RAA$1892</definedName>
    <definedName name="aranceles">#REF!</definedName>
    <definedName name="inscripciones">#REF!</definedName>
    <definedName name="IVA">#REF!</definedName>
    <definedName name="materias">#REF!</definedName>
    <definedName name="Productos">#REF!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2" l="1"/>
  <c r="C28" i="12"/>
  <c r="C27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9" i="12"/>
  <c r="B6" i="12"/>
  <c r="J4" i="10"/>
  <c r="J5" i="10"/>
  <c r="J6" i="10"/>
  <c r="J7" i="10"/>
  <c r="J8" i="10"/>
  <c r="J9" i="10"/>
  <c r="J10" i="10"/>
  <c r="J11" i="10"/>
  <c r="J12" i="10"/>
  <c r="J3" i="10"/>
  <c r="I4" i="10" a="1"/>
  <c r="I4" i="10"/>
  <c r="I5" i="10" a="1"/>
  <c r="I5" i="10"/>
  <c r="I6" i="10" a="1"/>
  <c r="I6" i="10"/>
  <c r="I7" i="10" a="1"/>
  <c r="I7" i="10"/>
  <c r="I8" i="10" a="1"/>
  <c r="I8" i="10"/>
  <c r="I9" i="10" a="1"/>
  <c r="I9" i="10"/>
  <c r="I10" i="10" a="1"/>
  <c r="I10" i="10"/>
  <c r="I11" i="10" a="1"/>
  <c r="I11" i="10"/>
  <c r="I12" i="10" a="1"/>
  <c r="I12" i="10"/>
  <c r="I3" i="10" a="1"/>
  <c r="I3" i="10"/>
  <c r="G4" i="10"/>
  <c r="G5" i="10"/>
  <c r="G6" i="10"/>
  <c r="G7" i="10"/>
  <c r="G8" i="10"/>
  <c r="G9" i="10"/>
  <c r="G10" i="10"/>
  <c r="G11" i="10"/>
  <c r="G12" i="10"/>
  <c r="G3" i="10"/>
  <c r="E12" i="10"/>
  <c r="E11" i="10"/>
  <c r="E10" i="10"/>
  <c r="E9" i="10"/>
  <c r="E8" i="10"/>
  <c r="E7" i="10"/>
  <c r="E6" i="10"/>
  <c r="E5" i="10"/>
  <c r="E4" i="10"/>
  <c r="E3" i="10"/>
  <c r="D4" i="10"/>
  <c r="D5" i="10"/>
  <c r="D6" i="10"/>
  <c r="D7" i="10"/>
  <c r="D8" i="10"/>
  <c r="D9" i="10"/>
  <c r="D10" i="10"/>
  <c r="D11" i="10"/>
  <c r="D12" i="10"/>
  <c r="D3" i="10"/>
  <c r="C4" i="10"/>
  <c r="C5" i="10"/>
  <c r="C6" i="10"/>
  <c r="C7" i="10"/>
  <c r="C8" i="10"/>
  <c r="C9" i="10"/>
  <c r="C10" i="10"/>
  <c r="C11" i="10"/>
  <c r="C12" i="10"/>
  <c r="C3" i="10"/>
  <c r="C23" i="7"/>
  <c r="B21" i="7"/>
  <c r="B22" i="7"/>
  <c r="B23" i="7"/>
  <c r="B20" i="7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7" i="7"/>
  <c r="E7" i="7" s="1"/>
  <c r="B7" i="7"/>
  <c r="B8" i="7"/>
  <c r="B9" i="7"/>
  <c r="B10" i="7"/>
  <c r="B11" i="7"/>
  <c r="B12" i="7"/>
  <c r="B13" i="7"/>
  <c r="B14" i="7"/>
  <c r="B15" i="7"/>
  <c r="B16" i="7"/>
  <c r="E24" i="5"/>
  <c r="E23" i="5"/>
  <c r="D21" i="5"/>
  <c r="D20" i="5"/>
  <c r="C21" i="5"/>
  <c r="C20" i="5"/>
  <c r="F11" i="5"/>
  <c r="F13" i="5"/>
  <c r="F14" i="5"/>
  <c r="F8" i="5"/>
  <c r="F7" i="5"/>
  <c r="F9" i="5"/>
  <c r="F5" i="5"/>
  <c r="F12" i="5"/>
  <c r="F10" i="5"/>
  <c r="F6" i="5"/>
  <c r="F15" i="5"/>
  <c r="H6" i="4"/>
  <c r="I6" i="4"/>
  <c r="I7" i="4"/>
  <c r="I8" i="4"/>
  <c r="I9" i="4"/>
  <c r="I10" i="4"/>
  <c r="I11" i="4"/>
  <c r="I12" i="4"/>
  <c r="I13" i="4"/>
  <c r="I14" i="4"/>
  <c r="I15" i="4"/>
  <c r="I16" i="4"/>
  <c r="I17" i="4"/>
  <c r="I5" i="4"/>
  <c r="C5" i="4"/>
  <c r="H7" i="4"/>
  <c r="H8" i="4"/>
  <c r="H9" i="4"/>
  <c r="H10" i="4"/>
  <c r="H11" i="4"/>
  <c r="H12" i="4"/>
  <c r="H13" i="4"/>
  <c r="H14" i="4"/>
  <c r="H15" i="4"/>
  <c r="H16" i="4"/>
  <c r="H17" i="4"/>
  <c r="H5" i="4"/>
  <c r="F6" i="4" a="1"/>
  <c r="F6" i="4"/>
  <c r="F7" i="4" a="1"/>
  <c r="F7" i="4"/>
  <c r="F8" i="4" a="1"/>
  <c r="F8" i="4"/>
  <c r="F9" i="4" a="1"/>
  <c r="F9" i="4"/>
  <c r="F10" i="4" a="1"/>
  <c r="F10" i="4"/>
  <c r="F11" i="4" a="1"/>
  <c r="F11" i="4"/>
  <c r="F12" i="4" a="1"/>
  <c r="F12" i="4"/>
  <c r="F13" i="4" a="1"/>
  <c r="F13" i="4"/>
  <c r="F14" i="4" a="1"/>
  <c r="F14" i="4"/>
  <c r="F15" i="4" a="1"/>
  <c r="F15" i="4"/>
  <c r="F16" i="4" a="1"/>
  <c r="F16" i="4"/>
  <c r="F17" i="4" a="1"/>
  <c r="F17" i="4"/>
  <c r="F5" i="4" a="1"/>
  <c r="F5" i="4" s="1"/>
  <c r="E6" i="4" a="1"/>
  <c r="E6" i="4"/>
  <c r="E7" i="4" a="1"/>
  <c r="E7" i="4"/>
  <c r="E8" i="4" a="1"/>
  <c r="E8" i="4"/>
  <c r="E9" i="4" a="1"/>
  <c r="E9" i="4"/>
  <c r="E10" i="4" a="1"/>
  <c r="E10" i="4"/>
  <c r="E11" i="4" a="1"/>
  <c r="E11" i="4"/>
  <c r="E12" i="4" a="1"/>
  <c r="E12" i="4"/>
  <c r="E13" i="4" a="1"/>
  <c r="E13" i="4"/>
  <c r="E14" i="4" a="1"/>
  <c r="E14" i="4"/>
  <c r="E15" i="4" a="1"/>
  <c r="E15" i="4"/>
  <c r="E16" i="4" a="1"/>
  <c r="E16" i="4"/>
  <c r="E17" i="4" a="1"/>
  <c r="E17" i="4"/>
  <c r="E5" i="4" a="1"/>
  <c r="E5" i="4" s="1"/>
  <c r="C6" i="4"/>
  <c r="C7" i="4"/>
  <c r="C8" i="4"/>
  <c r="C9" i="4"/>
  <c r="C10" i="4"/>
  <c r="C11" i="4"/>
  <c r="C12" i="4"/>
  <c r="C13" i="4"/>
  <c r="C14" i="4"/>
  <c r="C15" i="4"/>
  <c r="C16" i="4"/>
  <c r="C17" i="4"/>
  <c r="B6" i="4"/>
  <c r="B7" i="4"/>
  <c r="B8" i="4"/>
  <c r="B9" i="4"/>
  <c r="B10" i="4"/>
  <c r="B11" i="4"/>
  <c r="B12" i="4"/>
  <c r="B13" i="4"/>
  <c r="B14" i="4"/>
  <c r="B15" i="4"/>
  <c r="B16" i="4"/>
  <c r="B17" i="4"/>
  <c r="B5" i="4"/>
  <c r="D19" i="2"/>
  <c r="J11" i="2"/>
  <c r="J12" i="2"/>
  <c r="J13" i="2"/>
  <c r="J14" i="2"/>
  <c r="J15" i="2"/>
  <c r="J16" i="2"/>
  <c r="J10" i="2"/>
  <c r="F11" i="2"/>
  <c r="F12" i="2"/>
  <c r="F13" i="2"/>
  <c r="F14" i="2"/>
  <c r="F15" i="2"/>
  <c r="F16" i="2"/>
  <c r="F10" i="2"/>
  <c r="B5" i="2"/>
  <c r="B4" i="2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G10" i="2"/>
  <c r="H10" i="2" s="1"/>
  <c r="E11" i="2"/>
  <c r="E12" i="2"/>
  <c r="E13" i="2"/>
  <c r="E14" i="2"/>
  <c r="E15" i="2"/>
  <c r="E16" i="2"/>
  <c r="E10" i="2"/>
  <c r="C10" i="2"/>
  <c r="C11" i="2"/>
  <c r="C12" i="2"/>
  <c r="C13" i="2"/>
  <c r="C14" i="2"/>
  <c r="C15" i="2"/>
  <c r="C16" i="2"/>
  <c r="B11" i="2"/>
  <c r="B12" i="2"/>
  <c r="B13" i="2"/>
  <c r="B14" i="2"/>
  <c r="B15" i="2"/>
  <c r="B16" i="2"/>
  <c r="B10" i="2"/>
  <c r="I6" i="2"/>
  <c r="G9" i="12" l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F7" i="7"/>
  <c r="G7" i="7" s="1"/>
  <c r="F15" i="7"/>
  <c r="G15" i="7" s="1"/>
  <c r="F14" i="7"/>
  <c r="G14" i="7" s="1"/>
  <c r="F13" i="7"/>
  <c r="G13" i="7" s="1"/>
  <c r="F12" i="7"/>
  <c r="G12" i="7" s="1"/>
  <c r="F11" i="7"/>
  <c r="G11" i="7" s="1"/>
  <c r="C20" i="7" s="1"/>
  <c r="F10" i="7"/>
  <c r="G10" i="7" s="1"/>
  <c r="F9" i="7"/>
  <c r="G9" i="7" s="1"/>
  <c r="C22" i="7" s="1"/>
  <c r="F8" i="7"/>
  <c r="G8" i="7" s="1"/>
  <c r="F16" i="7"/>
  <c r="G16" i="7" s="1"/>
  <c r="H17" i="2"/>
  <c r="I17" i="2" s="1"/>
  <c r="I10" i="2"/>
  <c r="H25" i="12" l="1"/>
  <c r="J25" i="12"/>
  <c r="H24" i="12"/>
  <c r="J24" i="12"/>
  <c r="H23" i="12"/>
  <c r="J23" i="12"/>
  <c r="H22" i="12"/>
  <c r="J22" i="12"/>
  <c r="H21" i="12"/>
  <c r="J21" i="12"/>
  <c r="H20" i="12"/>
  <c r="J20" i="12"/>
  <c r="H19" i="12"/>
  <c r="J19" i="12"/>
  <c r="H18" i="12"/>
  <c r="J18" i="12"/>
  <c r="H17" i="12"/>
  <c r="J17" i="12"/>
  <c r="H16" i="12"/>
  <c r="J16" i="12"/>
  <c r="H15" i="12"/>
  <c r="J15" i="12"/>
  <c r="H14" i="12"/>
  <c r="J14" i="12"/>
  <c r="H13" i="12"/>
  <c r="J13" i="12"/>
  <c r="H12" i="12"/>
  <c r="J12" i="12"/>
  <c r="H11" i="12"/>
  <c r="J11" i="12"/>
  <c r="H10" i="12"/>
  <c r="J10" i="12"/>
  <c r="H9" i="12"/>
  <c r="J9" i="12"/>
  <c r="C21" i="7"/>
  <c r="J17" i="2"/>
  <c r="K10" i="12" l="1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9" i="12"/>
  <c r="C30" i="12" l="1"/>
  <c r="RAH1901" i="13"/>
  <c r="RAG1903" i="13"/>
  <c r="RAH1904" i="13"/>
  <c r="RAI1904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<sst xmlns="http://schemas.openxmlformats.org/spreadsheetml/2006/main" count="391" uniqueCount="250">
  <si>
    <t>Apellido y Nombre, Curso y Docente/s</t>
  </si>
  <si>
    <t>Ejemplo</t>
  </si>
  <si>
    <t>Juan Cruz Mamerto Garcia, 912-36, Armando Balcarce</t>
  </si>
  <si>
    <t>Luciano Gabriel Escalante, 912-1939, SOSA OMAR</t>
  </si>
  <si>
    <t>Empezo a trabajar con el archivo el</t>
  </si>
  <si>
    <t>Cambios de autor del archivo</t>
  </si>
  <si>
    <t>Dato Anterior</t>
  </si>
  <si>
    <t>SUPERMERCADO "YING YANG"</t>
  </si>
  <si>
    <t>Fecha:</t>
  </si>
  <si>
    <t>Cliente:</t>
  </si>
  <si>
    <t>María Rosa Gimenez</t>
  </si>
  <si>
    <t>Hora:</t>
  </si>
  <si>
    <t>Domicilio:</t>
  </si>
  <si>
    <t>Avda de Mayo 511 Ramos Mejía</t>
  </si>
  <si>
    <t>Situación I.V.A:</t>
  </si>
  <si>
    <t>R.I.</t>
  </si>
  <si>
    <t>Porcentaje IVA:</t>
  </si>
  <si>
    <t>Detalle del producto</t>
  </si>
  <si>
    <t>Cantidad</t>
  </si>
  <si>
    <t>Importes</t>
  </si>
  <si>
    <t>Código</t>
  </si>
  <si>
    <t>Rubro</t>
  </si>
  <si>
    <t>Descripción</t>
  </si>
  <si>
    <t>Unitario</t>
  </si>
  <si>
    <t>Descuento</t>
  </si>
  <si>
    <t>Neto</t>
  </si>
  <si>
    <t>Total</t>
  </si>
  <si>
    <t>IVA</t>
  </si>
  <si>
    <t>Final</t>
  </si>
  <si>
    <t>TOTALES A ABONAR:</t>
  </si>
  <si>
    <t xml:space="preserve">Ud acumuló con ésta compra: </t>
  </si>
  <si>
    <t>puntos para canjear por premios.</t>
  </si>
  <si>
    <t>Lo esperamos nuevamente!!</t>
  </si>
  <si>
    <t>TABLA DE PRODUCTOS A LA VENTA</t>
  </si>
  <si>
    <t>TABLA DEL IVA</t>
  </si>
  <si>
    <t>Precio unitario</t>
  </si>
  <si>
    <t>Situación</t>
  </si>
  <si>
    <t>Porcentaje</t>
  </si>
  <si>
    <t>Almacén</t>
  </si>
  <si>
    <t>Yerba "Yuyito"</t>
  </si>
  <si>
    <t>Exento</t>
  </si>
  <si>
    <t>Azucar "Sur"</t>
  </si>
  <si>
    <t>R.N.I.</t>
  </si>
  <si>
    <t>Perfumería</t>
  </si>
  <si>
    <t>Colonia "Y2K"</t>
  </si>
  <si>
    <t>Limpieza</t>
  </si>
  <si>
    <t>Jabón "Shock"</t>
  </si>
  <si>
    <t>Atún "Tuna"</t>
  </si>
  <si>
    <t>Bebidas</t>
  </si>
  <si>
    <t>Agua "H2O"</t>
  </si>
  <si>
    <t>Jugo "Hugo"</t>
  </si>
  <si>
    <t>Carnicería</t>
  </si>
  <si>
    <t>Lomo</t>
  </si>
  <si>
    <t>Algodón "Copo"</t>
  </si>
  <si>
    <t>Sopa "Nor Suecia"</t>
  </si>
  <si>
    <t>Asado</t>
  </si>
  <si>
    <t>Bazar</t>
  </si>
  <si>
    <t>Pava</t>
  </si>
  <si>
    <t>Colador</t>
  </si>
  <si>
    <t>Gaseosa "9up"</t>
  </si>
  <si>
    <t>ATENCION DE PACIENTES</t>
  </si>
  <si>
    <t>Código de paciente</t>
  </si>
  <si>
    <t>Paciente</t>
  </si>
  <si>
    <t>Especialidad</t>
  </si>
  <si>
    <t>Fecha de consulta</t>
  </si>
  <si>
    <t>Prioridad</t>
  </si>
  <si>
    <t>Nro. Consultorio</t>
  </si>
  <si>
    <t>Estudios</t>
  </si>
  <si>
    <t>Prox. Consulta</t>
  </si>
  <si>
    <t>Arancel</t>
  </si>
  <si>
    <t>si</t>
  </si>
  <si>
    <t>no</t>
  </si>
  <si>
    <t>Código de especialidad</t>
  </si>
  <si>
    <t>A</t>
  </si>
  <si>
    <t>B</t>
  </si>
  <si>
    <t>C</t>
  </si>
  <si>
    <t>D</t>
  </si>
  <si>
    <t>E</t>
  </si>
  <si>
    <t>Gómez, Mario</t>
  </si>
  <si>
    <t>Oftalmología</t>
  </si>
  <si>
    <t>Clínica</t>
  </si>
  <si>
    <t>Traumatología</t>
  </si>
  <si>
    <t>Pediatría</t>
  </si>
  <si>
    <t>Dermatología</t>
  </si>
  <si>
    <t>Pérez, Roberto</t>
  </si>
  <si>
    <t>López, Ana</t>
  </si>
  <si>
    <t>Vilches, Luis</t>
  </si>
  <si>
    <t>Flores, Pedro</t>
  </si>
  <si>
    <t>Forino, Hector</t>
  </si>
  <si>
    <t>Jerez, Marcos</t>
  </si>
  <si>
    <t>Ponce, Helena</t>
  </si>
  <si>
    <t>Pitani, José</t>
  </si>
  <si>
    <t>Pitani, Luisa</t>
  </si>
  <si>
    <t>López, María</t>
  </si>
  <si>
    <t>Pietra, Laura</t>
  </si>
  <si>
    <t>Llach, Martin</t>
  </si>
  <si>
    <t>Olmedo, Leonor</t>
  </si>
  <si>
    <t>Rosso, Marta</t>
  </si>
  <si>
    <t>VENTAS DEL PRIMER TRIMESTRE AÑO 2017</t>
  </si>
  <si>
    <t>Marca</t>
  </si>
  <si>
    <t>Modelo</t>
  </si>
  <si>
    <t>Origen</t>
  </si>
  <si>
    <t>Precio total</t>
  </si>
  <si>
    <t>Chevrolet</t>
  </si>
  <si>
    <t>C-10</t>
  </si>
  <si>
    <t>Importado</t>
  </si>
  <si>
    <t>Cruze</t>
  </si>
  <si>
    <t>Corsa</t>
  </si>
  <si>
    <t>Nacional</t>
  </si>
  <si>
    <t>Fiat</t>
  </si>
  <si>
    <t>Siena</t>
  </si>
  <si>
    <t>Uno</t>
  </si>
  <si>
    <t>Palio</t>
  </si>
  <si>
    <t>Ford</t>
  </si>
  <si>
    <t>Fiesta</t>
  </si>
  <si>
    <t>Mondeo</t>
  </si>
  <si>
    <t>Peugeot</t>
  </si>
  <si>
    <t>Unidades</t>
  </si>
  <si>
    <t>Modelos</t>
  </si>
  <si>
    <t>Total importados</t>
  </si>
  <si>
    <t>Total nacionales</t>
  </si>
  <si>
    <t>Promedio de precio total de marca:</t>
  </si>
  <si>
    <t>Precio total de unidades de origen:</t>
  </si>
  <si>
    <t>I-MMXII</t>
  </si>
  <si>
    <t>COMPU MAX S.A.</t>
  </si>
  <si>
    <t>TU EMPRESA DE COMPUTACIÓN</t>
  </si>
  <si>
    <t>VENTAS DEL DIA</t>
  </si>
  <si>
    <t>CODIGO</t>
  </si>
  <si>
    <t>PRODUCTO</t>
  </si>
  <si>
    <t>PLAN ELEGIDO</t>
  </si>
  <si>
    <t>PRECIO LISTA</t>
  </si>
  <si>
    <t>VALOR CUOTA</t>
  </si>
  <si>
    <t>VALOR INTERESES</t>
  </si>
  <si>
    <t>PRECIO FINAL</t>
  </si>
  <si>
    <t>PLAN 1</t>
  </si>
  <si>
    <t>PLAN 3</t>
  </si>
  <si>
    <t>PLAN 2</t>
  </si>
  <si>
    <t>PLAN 0</t>
  </si>
  <si>
    <t>ACER</t>
  </si>
  <si>
    <t>CUOTAS</t>
  </si>
  <si>
    <t>COMPAQ</t>
  </si>
  <si>
    <t>INTERES</t>
  </si>
  <si>
    <t>EPSON</t>
  </si>
  <si>
    <t>HP</t>
  </si>
  <si>
    <t>Una formula con muchos SI anidados es dificil de leer y dificil de mantener por eso es mejor hacerlo de esta manera</t>
  </si>
  <si>
    <t>IBM</t>
  </si>
  <si>
    <t>APPLE</t>
  </si>
  <si>
    <t>Es mas simple hacerlo de estas maneras porque si se usan funciones de base de datos se necesitan rango de criterios adicionales</t>
  </si>
  <si>
    <t>SAMSUNG</t>
  </si>
  <si>
    <t>TEXAS</t>
  </si>
  <si>
    <t>LG</t>
  </si>
  <si>
    <t>TOSHIBA</t>
  </si>
  <si>
    <t>Nº Vuelo</t>
  </si>
  <si>
    <t>Destino</t>
  </si>
  <si>
    <t>Precio</t>
  </si>
  <si>
    <t>Tasa de embarque</t>
  </si>
  <si>
    <t>Impuesto al turismo</t>
  </si>
  <si>
    <t>Kg. equipaje</t>
  </si>
  <si>
    <t>Exceso equipaje</t>
  </si>
  <si>
    <t>Banda negativa</t>
  </si>
  <si>
    <t>Descuento Banda Neg.</t>
  </si>
  <si>
    <t>Total a pagar</t>
  </si>
  <si>
    <t>AA1420</t>
  </si>
  <si>
    <t>Ushuaia</t>
  </si>
  <si>
    <t>S</t>
  </si>
  <si>
    <t>AU1320</t>
  </si>
  <si>
    <t>Mendoza</t>
  </si>
  <si>
    <t>LA3200</t>
  </si>
  <si>
    <t>Salta</t>
  </si>
  <si>
    <t>AA1480</t>
  </si>
  <si>
    <t>Bariloche</t>
  </si>
  <si>
    <t>LA3300</t>
  </si>
  <si>
    <t>N</t>
  </si>
  <si>
    <t>LA5500</t>
  </si>
  <si>
    <t>AU3030</t>
  </si>
  <si>
    <t>El Calafate</t>
  </si>
  <si>
    <t>LA2500</t>
  </si>
  <si>
    <t>Córdoba</t>
  </si>
  <si>
    <t>GO4500</t>
  </si>
  <si>
    <t>AA2790</t>
  </si>
  <si>
    <t>Exceso de equipaje</t>
  </si>
  <si>
    <t>Desc. banda negativa</t>
  </si>
  <si>
    <t>Libre hasta:</t>
  </si>
  <si>
    <t>Exceso, por kg</t>
  </si>
  <si>
    <t>Imp.al turismo</t>
  </si>
  <si>
    <t>Tucumán</t>
  </si>
  <si>
    <t>EMPRESA "LOS NOGALES S.R.L."</t>
  </si>
  <si>
    <t>Planilla de Empleados</t>
  </si>
  <si>
    <t>Fecha</t>
  </si>
  <si>
    <t>Nº de legajo</t>
  </si>
  <si>
    <t>Apellido</t>
  </si>
  <si>
    <t>Nombre</t>
  </si>
  <si>
    <t>Fecha de Ingreso</t>
  </si>
  <si>
    <t>Departamento</t>
  </si>
  <si>
    <t>Sueldo</t>
  </si>
  <si>
    <t>Antigüedad</t>
  </si>
  <si>
    <t>Adicional por antigüedad</t>
  </si>
  <si>
    <t>Título terciario</t>
  </si>
  <si>
    <t>Adicional por título</t>
  </si>
  <si>
    <t>Sueldo con Adicionales</t>
  </si>
  <si>
    <t>Ramallo</t>
  </si>
  <si>
    <t>Ana</t>
  </si>
  <si>
    <t>INFORMATICA</t>
  </si>
  <si>
    <t>Fuentes</t>
  </si>
  <si>
    <t>Angel</t>
  </si>
  <si>
    <t>FABRICACION</t>
  </si>
  <si>
    <t>Yuste</t>
  </si>
  <si>
    <t>Cristina</t>
  </si>
  <si>
    <t>VENTAS</t>
  </si>
  <si>
    <t>Vergara</t>
  </si>
  <si>
    <t>David</t>
  </si>
  <si>
    <t>Reglez</t>
  </si>
  <si>
    <t>Fernando</t>
  </si>
  <si>
    <t>Bermejo</t>
  </si>
  <si>
    <t>Gregorio</t>
  </si>
  <si>
    <t>OPERACIONES</t>
  </si>
  <si>
    <t>Pacheco</t>
  </si>
  <si>
    <t>Jorge</t>
  </si>
  <si>
    <t>MARKETING</t>
  </si>
  <si>
    <t>Alcalde</t>
  </si>
  <si>
    <t>José</t>
  </si>
  <si>
    <t>DISTRIBUCION</t>
  </si>
  <si>
    <t>Calleja</t>
  </si>
  <si>
    <t>EJECUTIVO</t>
  </si>
  <si>
    <t>Alonso</t>
  </si>
  <si>
    <t>Juan</t>
  </si>
  <si>
    <t>Calvillo</t>
  </si>
  <si>
    <t>Julia</t>
  </si>
  <si>
    <t>Martínez</t>
  </si>
  <si>
    <t>Lisa</t>
  </si>
  <si>
    <t>Usero</t>
  </si>
  <si>
    <t>Lucio</t>
  </si>
  <si>
    <t>Salas</t>
  </si>
  <si>
    <t>María</t>
  </si>
  <si>
    <t>Diaz</t>
  </si>
  <si>
    <t>Marina</t>
  </si>
  <si>
    <t>Magno</t>
  </si>
  <si>
    <t>Silvia</t>
  </si>
  <si>
    <t>Hernández</t>
  </si>
  <si>
    <t>Susana</t>
  </si>
  <si>
    <t>Total de empleados:</t>
  </si>
  <si>
    <t>DEPARTAMENTO</t>
  </si>
  <si>
    <t>SUELDO</t>
  </si>
  <si>
    <t>Cantidad de ejecutivos:</t>
  </si>
  <si>
    <t>Cantidad de legajos &gt;= 2000</t>
  </si>
  <si>
    <t>Sueldos con adic. VENTAS:</t>
  </si>
  <si>
    <t>Antiguedad</t>
  </si>
  <si>
    <t>Asignacion</t>
  </si>
  <si>
    <t>No conviene hacerlo con si anidados porque se dificulta mantener y leer las formulas y los datos siempre pueden cambiar</t>
  </si>
  <si>
    <t>CTN2-2C-17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</si>
</sst>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Pts&quot;_-;\-* #,##0.00\ &quot;Pts&quot;_-;_-* &quot;-&quot;??\ &quot;Pts&quot;_-;_-@_-"/>
    <numFmt numFmtId="166" formatCode="[$$-2C0A]\ #,##0.00"/>
    <numFmt numFmtId="167" formatCode="_-* #,##0.00\ [$€]_-;\-* #,##0.00\ [$€]_-;_-* &quot;-&quot;??\ [$€]_-;_-@_-"/>
    <numFmt numFmtId="168" formatCode="&quot;$&quot;#,##0.00"/>
    <numFmt numFmtId="169" formatCode="0.0%"/>
    <numFmt numFmtId="170" formatCode="dd/mm/yyyy\ h:mm:ss"/>
    <numFmt numFmtId="172" formatCode="[$-C0A]d\ &quot;de&quot;\ mmmm\ &quot;de&quot;\ yyyy;@"/>
    <numFmt numFmtId="173" formatCode="[$-F400]h:mm:ss\ AM/PM"/>
    <numFmt numFmtId="176" formatCode="_-[$$-2C0A]\ * #,##0.00_-;\-[$$-2C0A]\ * #,##0.00_-;_-[$$-2C0A]\ * &quot;-&quot;??_-;_-@_-"/>
    <numFmt numFmtId="178" formatCode="[$$-2C0A]\ #,##0.0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</font>
    <font>
      <b/>
      <sz val="11"/>
      <name val="Arial"/>
    </font>
    <font>
      <b/>
      <sz val="12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theme="1"/>
      <name val="Arial"/>
    </font>
    <font>
      <sz val="12"/>
      <name val="Arial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9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166" fontId="0" fillId="0" borderId="1" xfId="2" applyNumberFormat="1" applyFont="1" applyBorder="1"/>
    <xf numFmtId="168" fontId="0" fillId="0" borderId="1" xfId="0" applyNumberFormat="1" applyBorder="1"/>
    <xf numFmtId="0" fontId="3" fillId="0" borderId="0" xfId="0" applyFont="1"/>
    <xf numFmtId="169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1" xfId="0" applyFont="1" applyBorder="1"/>
    <xf numFmtId="168" fontId="0" fillId="0" borderId="0" xfId="0" applyNumberFormat="1"/>
    <xf numFmtId="14" fontId="5" fillId="0" borderId="0" xfId="0" applyNumberFormat="1" applyFont="1"/>
    <xf numFmtId="0" fontId="2" fillId="0" borderId="0" xfId="3"/>
    <xf numFmtId="0" fontId="2" fillId="0" borderId="0" xfId="3" applyAlignment="1">
      <alignment horizontal="center" vertical="center"/>
    </xf>
    <xf numFmtId="0" fontId="8" fillId="0" borderId="0" xfId="3" applyFont="1"/>
    <xf numFmtId="14" fontId="7" fillId="0" borderId="0" xfId="3" applyNumberFormat="1" applyFont="1" applyAlignment="1" applyProtection="1">
      <alignment horizontal="center" vertical="center"/>
      <protection hidden="1"/>
    </xf>
    <xf numFmtId="0" fontId="7" fillId="0" borderId="0" xfId="3" applyFont="1" applyAlignment="1" applyProtection="1">
      <alignment horizontal="center" vertical="center"/>
      <protection hidden="1"/>
    </xf>
    <xf numFmtId="170" fontId="7" fillId="0" borderId="0" xfId="3" applyNumberFormat="1" applyFont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1" fillId="0" borderId="0" xfId="3" applyFont="1" applyAlignment="1" applyProtection="1">
      <alignment horizontal="center" vertical="top" wrapText="1"/>
      <protection hidden="1"/>
    </xf>
    <xf numFmtId="0" fontId="6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3" borderId="2" xfId="3" applyFont="1" applyFill="1" applyBorder="1" applyAlignment="1" applyProtection="1">
      <alignment horizontal="center" vertical="center" wrapText="1"/>
      <protection locked="0"/>
    </xf>
    <xf numFmtId="0" fontId="6" fillId="3" borderId="3" xfId="3" applyFont="1" applyFill="1" applyBorder="1" applyAlignment="1" applyProtection="1">
      <alignment horizontal="center" vertical="center" wrapText="1"/>
      <protection locked="0"/>
    </xf>
    <xf numFmtId="0" fontId="6" fillId="3" borderId="4" xfId="3" applyFont="1" applyFill="1" applyBorder="1" applyAlignment="1" applyProtection="1">
      <alignment horizontal="center" vertical="center" wrapText="1"/>
      <protection locked="0"/>
    </xf>
    <xf numFmtId="172" fontId="0" fillId="0" borderId="0" xfId="0" applyNumberFormat="1"/>
    <xf numFmtId="173" fontId="0" fillId="0" borderId="0" xfId="0" applyNumberFormat="1"/>
    <xf numFmtId="0" fontId="0" fillId="0" borderId="0" xfId="0" applyAlignment="1">
      <alignment horizontal="center" wrapText="1"/>
    </xf>
    <xf numFmtId="0" fontId="9" fillId="5" borderId="0" xfId="0" applyFont="1" applyFill="1" applyAlignment="1">
      <alignment horizontal="center" vertical="center"/>
    </xf>
    <xf numFmtId="0" fontId="0" fillId="6" borderId="0" xfId="0" applyFill="1"/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14" fontId="0" fillId="0" borderId="5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11" fillId="6" borderId="5" xfId="0" applyFont="1" applyFill="1" applyBorder="1" applyAlignment="1">
      <alignment wrapText="1"/>
    </xf>
    <xf numFmtId="0" fontId="14" fillId="6" borderId="5" xfId="0" applyFont="1" applyFill="1" applyBorder="1" applyAlignment="1">
      <alignment wrapText="1"/>
    </xf>
    <xf numFmtId="176" fontId="3" fillId="0" borderId="0" xfId="0" applyNumberFormat="1" applyFont="1" applyAlignment="1">
      <alignment horizontal="right"/>
    </xf>
    <xf numFmtId="176" fontId="0" fillId="0" borderId="0" xfId="0" applyNumberFormat="1"/>
    <xf numFmtId="0" fontId="13" fillId="8" borderId="0" xfId="0" applyFont="1" applyFill="1" applyAlignment="1">
      <alignment horizontal="center" vertical="center"/>
    </xf>
    <xf numFmtId="49" fontId="9" fillId="9" borderId="0" xfId="0" applyNumberFormat="1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3" fillId="0" borderId="5" xfId="0" applyFont="1" applyBorder="1" applyAlignment="1">
      <alignment horizontal="center"/>
    </xf>
    <xf numFmtId="0" fontId="3" fillId="0" borderId="10" xfId="0" applyFont="1" applyBorder="1"/>
    <xf numFmtId="49" fontId="0" fillId="5" borderId="6" xfId="0" applyNumberFormat="1" applyFill="1" applyBorder="1"/>
    <xf numFmtId="0" fontId="0" fillId="5" borderId="12" xfId="0" applyFill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9" fontId="9" fillId="5" borderId="6" xfId="0" applyNumberFormat="1" applyFont="1" applyFill="1" applyBorder="1"/>
    <xf numFmtId="0" fontId="9" fillId="5" borderId="7" xfId="0" applyFont="1" applyFill="1" applyBorder="1"/>
    <xf numFmtId="49" fontId="12" fillId="5" borderId="8" xfId="0" applyNumberFormat="1" applyFont="1" applyFill="1" applyBorder="1"/>
    <xf numFmtId="0" fontId="9" fillId="5" borderId="0" xfId="0" applyFont="1" applyFill="1" applyBorder="1"/>
    <xf numFmtId="0" fontId="12" fillId="5" borderId="10" xfId="0" applyFont="1" applyFill="1" applyBorder="1"/>
    <xf numFmtId="0" fontId="9" fillId="5" borderId="13" xfId="0" applyFont="1" applyFill="1" applyBorder="1"/>
    <xf numFmtId="0" fontId="3" fillId="0" borderId="6" xfId="0" applyFont="1" applyBorder="1"/>
    <xf numFmtId="166" fontId="3" fillId="0" borderId="7" xfId="0" applyNumberFormat="1" applyFont="1" applyBorder="1" applyAlignment="1">
      <alignment horizontal="center"/>
    </xf>
    <xf numFmtId="176" fontId="3" fillId="0" borderId="11" xfId="0" applyNumberFormat="1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 wrapText="1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0" fillId="11" borderId="2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9" fillId="7" borderId="5" xfId="0" applyFont="1" applyFill="1" applyBorder="1"/>
    <xf numFmtId="10" fontId="9" fillId="7" borderId="5" xfId="0" applyNumberFormat="1" applyFont="1" applyFill="1" applyBorder="1" applyAlignment="1">
      <alignment horizontal="center"/>
    </xf>
    <xf numFmtId="9" fontId="9" fillId="7" borderId="5" xfId="0" applyNumberFormat="1" applyFont="1" applyFill="1" applyBorder="1"/>
    <xf numFmtId="166" fontId="3" fillId="0" borderId="5" xfId="0" applyNumberFormat="1" applyFont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3" fillId="12" borderId="1" xfId="0" applyFont="1" applyFill="1" applyBorder="1"/>
    <xf numFmtId="0" fontId="0" fillId="12" borderId="1" xfId="0" applyFill="1" applyBorder="1"/>
    <xf numFmtId="166" fontId="0" fillId="12" borderId="1" xfId="0" applyNumberFormat="1" applyFill="1" applyBorder="1" applyAlignment="1">
      <alignment horizontal="center"/>
    </xf>
    <xf numFmtId="178" fontId="0" fillId="12" borderId="1" xfId="0" applyNumberFormat="1" applyFill="1" applyBorder="1" applyAlignment="1">
      <alignment horizontal="center"/>
    </xf>
    <xf numFmtId="166" fontId="0" fillId="12" borderId="1" xfId="0" applyNumberFormat="1" applyFill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166" fontId="0" fillId="0" borderId="5" xfId="0" applyNumberFormat="1" applyBorder="1"/>
    <xf numFmtId="0" fontId="0" fillId="7" borderId="14" xfId="0" applyFill="1" applyBorder="1"/>
    <xf numFmtId="169" fontId="0" fillId="0" borderId="5" xfId="0" applyNumberFormat="1" applyBorder="1"/>
    <xf numFmtId="0" fontId="0" fillId="0" borderId="0" xfId="0" applyAlignment="1"/>
    <xf numFmtId="0" fontId="16" fillId="7" borderId="0" xfId="0" applyFon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4" fontId="0" fillId="0" borderId="5" xfId="0" applyNumberFormat="1" applyBorder="1"/>
    <xf numFmtId="166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 wrapText="1"/>
    </xf>
    <xf numFmtId="0" fontId="1" fillId="4" borderId="0" xfId="3" applyFont="1" applyFill="1" applyAlignment="1">
      <alignment horizontal="center" vertical="center"/>
    </xf>
    <xf numFmtId="0" fontId="1" fillId="0" borderId="0" xfId="3" applyFont="1"/>
  </cellXfs>
  <cellStyles count="4">
    <cellStyle name="Euro" xfId="1" xr:uid="{00000000-0005-0000-0000-000000000000}"/>
    <cellStyle name="Moneda" xfId="2" builtinId="4"/>
    <cellStyle name="Normal" xfId="0" builtinId="0"/>
    <cellStyle name="Normal 2" xfId="3" xr:uid="{75275166-DF1C-4ED1-B18A-C679FA27961E}"/>
  </cellStyles>
  <dxfs count="7"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0"/>
      </font>
    </dxf>
    <dxf>
      <font>
        <b/>
        <i val="0"/>
        <color theme="1"/>
      </font>
    </dxf>
    <dxf>
      <font>
        <b/>
        <i val="0"/>
        <color theme="0"/>
      </font>
    </dxf>
    <dxf>
      <font>
        <b/>
        <i val="0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Vendida de cada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{"Cantidad"}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1'!$C$10:$C$16</c:f>
              <c:strCache>
                <c:ptCount val="7"/>
                <c:pt idx="0">
                  <c:v>Jabón "Shock"</c:v>
                </c:pt>
                <c:pt idx="1">
                  <c:v>Lomo</c:v>
                </c:pt>
                <c:pt idx="2">
                  <c:v>Sopa "Nor Suecia"</c:v>
                </c:pt>
                <c:pt idx="3">
                  <c:v>Colonia "Y2K"</c:v>
                </c:pt>
                <c:pt idx="4">
                  <c:v>Jugo "Hugo"</c:v>
                </c:pt>
                <c:pt idx="5">
                  <c:v>Atún "Tuna"</c:v>
                </c:pt>
                <c:pt idx="6">
                  <c:v>Yerba "Yuyito"</c:v>
                </c:pt>
              </c:strCache>
            </c:strRef>
          </c:cat>
          <c:val>
            <c:numRef>
              <c:f>'Ejercicio 1'!$D$10:$D$16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3-48D0-849B-F7B0461C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6296584"/>
        <c:axId val="726310920"/>
      </c:barChart>
      <c:catAx>
        <c:axId val="72629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0920"/>
        <c:crosses val="autoZero"/>
        <c:auto val="1"/>
        <c:lblAlgn val="ctr"/>
        <c:lblOffset val="100"/>
        <c:noMultiLvlLbl val="0"/>
      </c:catAx>
      <c:valAx>
        <c:axId val="72631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9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'Ejercicio 1'!$H$9:$I$9</c:f>
              <c:strCache>
                <c:ptCount val="2"/>
                <c:pt idx="0">
                  <c:v>Total</c:v>
                </c:pt>
                <c:pt idx="1">
                  <c:v>IVA</c:v>
                </c:pt>
              </c:strCache>
            </c:strRef>
          </c:cat>
          <c:val>
            <c:numRef>
              <c:f>'Ejercicio 1'!$H$17:$I$17</c:f>
              <c:numCache>
                <c:formatCode>[$$-2C0A]\ #,##0.00</c:formatCode>
                <c:ptCount val="2"/>
                <c:pt idx="0">
                  <c:v>785.48</c:v>
                </c:pt>
                <c:pt idx="1">
                  <c:v>164.95079999999999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4-40D9-897E-75556D094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Sueldo con Adicionales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{"Legajo"}</c:f>
              <c:strCache>
                <c:ptCount val="1"/>
                <c:pt idx="0">
                  <c:v>Legajo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'Ejercicio 6'!$K$9:$K$25</c:f>
              <c:numCache>
                <c:formatCode>[$$-2C0A]\ #,##0.00</c:formatCode>
                <c:ptCount val="17"/>
                <c:pt idx="0">
                  <c:v>27950</c:v>
                </c:pt>
                <c:pt idx="1">
                  <c:v>27430</c:v>
                </c:pt>
                <c:pt idx="2">
                  <c:v>20735</c:v>
                </c:pt>
                <c:pt idx="3">
                  <c:v>19937.5</c:v>
                </c:pt>
                <c:pt idx="4">
                  <c:v>25320</c:v>
                </c:pt>
                <c:pt idx="5">
                  <c:v>18475</c:v>
                </c:pt>
                <c:pt idx="6">
                  <c:v>22900</c:v>
                </c:pt>
                <c:pt idx="7">
                  <c:v>23125</c:v>
                </c:pt>
                <c:pt idx="8">
                  <c:v>54730</c:v>
                </c:pt>
                <c:pt idx="9">
                  <c:v>20735</c:v>
                </c:pt>
                <c:pt idx="10">
                  <c:v>27950</c:v>
                </c:pt>
                <c:pt idx="11">
                  <c:v>18475</c:v>
                </c:pt>
                <c:pt idx="12">
                  <c:v>25320</c:v>
                </c:pt>
                <c:pt idx="13">
                  <c:v>18475</c:v>
                </c:pt>
                <c:pt idx="14">
                  <c:v>18342.5</c:v>
                </c:pt>
                <c:pt idx="15">
                  <c:v>54730</c:v>
                </c:pt>
                <c:pt idx="16">
                  <c:v>25320</c:v>
                </c:pt>
              </c:numCache>
            </c:numRef>
          </c:cat>
          <c:val>
            <c:numRef>
              <c:f>'Ejercicio 6'!K9:K25</c:f>
              <c:numCache>
                <c:formatCode>[$$-2C0A]\ #,##0.00</c:formatCode>
                <c:ptCount val="17"/>
                <c:pt idx="0">
                  <c:v>27950</c:v>
                </c:pt>
                <c:pt idx="1">
                  <c:v>27430</c:v>
                </c:pt>
                <c:pt idx="2">
                  <c:v>20735</c:v>
                </c:pt>
                <c:pt idx="3">
                  <c:v>19937.5</c:v>
                </c:pt>
                <c:pt idx="4">
                  <c:v>25320</c:v>
                </c:pt>
                <c:pt idx="5">
                  <c:v>18475</c:v>
                </c:pt>
                <c:pt idx="6">
                  <c:v>22900</c:v>
                </c:pt>
                <c:pt idx="7">
                  <c:v>23125</c:v>
                </c:pt>
                <c:pt idx="8">
                  <c:v>54730</c:v>
                </c:pt>
                <c:pt idx="9">
                  <c:v>20735</c:v>
                </c:pt>
                <c:pt idx="10">
                  <c:v>27950</c:v>
                </c:pt>
                <c:pt idx="11">
                  <c:v>18475</c:v>
                </c:pt>
                <c:pt idx="12">
                  <c:v>25320</c:v>
                </c:pt>
                <c:pt idx="13">
                  <c:v>18475</c:v>
                </c:pt>
                <c:pt idx="14">
                  <c:v>18342.5</c:v>
                </c:pt>
                <c:pt idx="15">
                  <c:v>54730</c:v>
                </c:pt>
                <c:pt idx="16">
                  <c:v>25320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A-468E-9C18-5F77743E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984072"/>
        <c:axId val="641404936"/>
      </c:barChart>
      <c:catAx>
        <c:axId val="640984072"/>
        <c:scaling>
          <c:orientation val="minMax"/>
        </c:scaling>
        <c:delete val="0"/>
        <c:axPos val="b"/>
        <c:numFmt formatCode="[$$-2C0A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04936"/>
        <c:crosses val="autoZero"/>
        <c:auto val="1"/>
        <c:lblAlgn val="ctr"/>
        <c:lblOffset val="100"/>
        <c:noMultiLvlLbl val="0"/>
      </c:catAx>
      <c:valAx>
        <c:axId val="64140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98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47222222222221"/>
          <c:y val="0.89409667541557303"/>
          <c:w val="7.963651210265385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39</xdr:row>
      <xdr:rowOff>123825</xdr:rowOff>
    </xdr:from>
    <xdr:to>
      <xdr:col>3</xdr:col>
      <xdr:colOff>666750</xdr:colOff>
      <xdr:row>56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D92381-972F-3235-8999-182D26D5A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971550</xdr:colOff>
      <xdr:row>39</xdr:row>
      <xdr:rowOff>95250</xdr:rowOff>
    </xdr:from>
    <xdr:to>
      <xdr:col>8</xdr:col>
      <xdr:colOff>390525</xdr:colOff>
      <xdr:row>56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BC1A654-E7DE-0BA4-06CE-731C26A2F533}"/>
            </a:ext>
            <a:ext uri="{147F2762-F138-4A5C-976F-8EAC2B608ADB}">
              <a16:predDERef xmlns:a16="http://schemas.microsoft.com/office/drawing/2014/main" pred="{FBD92381-972F-3235-8999-182D26D5A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45</xdr:row>
      <xdr:rowOff>47625</xdr:rowOff>
    </xdr:from>
    <xdr:to>
      <xdr:col>9</xdr:col>
      <xdr:colOff>1190625</xdr:colOff>
      <xdr:row>62</xdr:row>
      <xdr:rowOff>38100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B7369AC-63E2-B31F-E03B-B1D7B4EC4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308-70EE-4301-856A-9D62DF304066}">
  <dimension ref="A1:RAI1913"/>
  <sheetViews>
    <sheetView tabSelected="1" zoomScale="175" zoomScaleNormal="175" workbookViewId="0">
      <selection activeCell="A3" sqref="A3:D6"/>
    </sheetView>
  </sheetViews>
  <sheetFormatPr defaultColWidth="11.42578125" defaultRowHeight="14.45"/>
  <cols>
    <col min="1" max="1" width="15.7109375" style="20" bestFit="1" customWidth="1"/>
    <col min="2" max="235" width="15.7109375" style="20" customWidth="1"/>
    <col min="236" max="237" width="11.5703125" style="20"/>
    <col min="238" max="238" width="67.42578125" style="20" bestFit="1" customWidth="1"/>
    <col min="239" max="239" width="12.140625" style="20" bestFit="1" customWidth="1"/>
    <col min="240" max="12201" width="11.5703125" style="20"/>
    <col min="12202" max="12202" width="39.5703125" style="20" customWidth="1"/>
    <col min="12203" max="12203" width="13" style="20" customWidth="1"/>
    <col min="12204" max="16384" width="11.5703125" style="20"/>
  </cols>
  <sheetData>
    <row r="1" spans="1:4">
      <c r="A1" s="28" t="s">
        <v>0</v>
      </c>
      <c r="B1" s="29"/>
      <c r="C1" s="29"/>
      <c r="D1" s="30"/>
    </row>
    <row r="2" spans="1:4">
      <c r="A2" s="113" t="s">
        <v>1</v>
      </c>
      <c r="B2" s="28" t="s">
        <v>2</v>
      </c>
      <c r="C2" s="29"/>
      <c r="D2" s="30"/>
    </row>
    <row r="3" spans="1:4" ht="15">
      <c r="A3" s="31" t="s">
        <v>3</v>
      </c>
      <c r="B3" s="32"/>
      <c r="C3" s="32"/>
      <c r="D3" s="33"/>
    </row>
    <row r="4" spans="1:4">
      <c r="A4" s="31"/>
      <c r="B4" s="32"/>
      <c r="C4" s="32"/>
      <c r="D4" s="33"/>
    </row>
    <row r="5" spans="1:4">
      <c r="A5" s="31"/>
      <c r="B5" s="32"/>
      <c r="C5" s="32"/>
      <c r="D5" s="33"/>
    </row>
    <row r="6" spans="1:4">
      <c r="A6" s="31"/>
      <c r="B6" s="32"/>
      <c r="C6" s="32"/>
      <c r="D6" s="33"/>
    </row>
    <row r="7" spans="1:4">
      <c r="A7" s="114"/>
    </row>
    <row r="8" spans="1:4">
      <c r="A8" s="114"/>
    </row>
    <row r="9" spans="1:4">
      <c r="A9" s="114"/>
    </row>
    <row r="10" spans="1:4">
      <c r="A10" s="114"/>
    </row>
    <row r="186" spans="234:239">
      <c r="ID186" s="114"/>
    </row>
    <row r="187" spans="234:239">
      <c r="ID187" s="114"/>
    </row>
    <row r="189" spans="234:239">
      <c r="HZ189" s="114"/>
    </row>
    <row r="190" spans="234:239">
      <c r="IC190" s="22"/>
      <c r="IE190" s="22"/>
    </row>
    <row r="192" spans="234:239" ht="14.45" customHeight="1"/>
    <row r="202" spans="238:238">
      <c r="ID202" s="21"/>
    </row>
    <row r="1900" spans="12201:12203">
      <c r="RAH1900" s="25" t="s">
        <v>4</v>
      </c>
    </row>
    <row r="1901" spans="12201:12203">
      <c r="RAH1901" s="26" t="str">
        <f ca="1">IF(RAH1901=0,IF('Ejercicio 1'!B4="a)",0,TEXT(NOW(),"dd/mm/aaaa")&amp;"  a las  "&amp;TEXT(NOW(),"hh:mm:ss")),RAH1901)</f>
        <v>19/02/2026  a las  15:43:45</v>
      </c>
    </row>
    <row r="1903" spans="12201:12203">
      <c r="RAG1903" s="23">
        <f ca="1">IF(A3=RAI1904,RAG1903,NOW())</f>
        <v>46072.774753703707</v>
      </c>
      <c r="RAH1903" s="25" t="s">
        <v>5</v>
      </c>
      <c r="RAI1903" s="24" t="s">
        <v>6</v>
      </c>
    </row>
    <row r="1904" spans="12201:12203">
      <c r="RAG1904" s="24"/>
      <c r="RAH1904" s="27" t="str">
        <f ca="1">IF(RAG1903=0,"-",IF(A3=RAI1904,RAH1904,RAH1904&amp;"👉  "&amp;TEXT(RAG1903,"dd/mm/aaaa hh:mm:ss")&amp;".-- "&amp;" --&gt;  "&amp;"("&amp;A3&amp;")"))</f>
        <v>0👉  19/02/2026 18:35:16.--  --&gt;  (Luciano Gabriel Escalante, )👉  19/02/2026 18:35:31.--  --&gt;  (Luciano Gabriel Escalante, 912-1939,)👉  19/02/2026 18:35:39.--  --&gt;  (Luciano Gabriel Escalante, 912-1939, SOSA OMAR)</v>
      </c>
      <c r="RAI1904" s="24" t="str">
        <f ca="1">IF(A3=RAI1904,RAI1904,A3)</f>
        <v>Luciano Gabriel Escalante, 912-1939, SOSA OMAR</v>
      </c>
    </row>
    <row r="1905" spans="12201:12203">
      <c r="RAG1905" s="24"/>
      <c r="RAH1905" s="27"/>
      <c r="RAI1905" s="24"/>
    </row>
    <row r="1906" spans="12201:12203">
      <c r="RAG1906" s="24"/>
      <c r="RAH1906" s="27"/>
      <c r="RAI1906" s="24"/>
    </row>
    <row r="1907" spans="12201:12203">
      <c r="RAG1907" s="24"/>
      <c r="RAH1907" s="27"/>
      <c r="RAI1907" s="24"/>
    </row>
    <row r="1908" spans="12201:12203">
      <c r="RAG1908" s="24"/>
      <c r="RAH1908" s="27"/>
      <c r="RAI1908" s="24"/>
    </row>
    <row r="1909" spans="12201:12203">
      <c r="RAG1909" s="24"/>
      <c r="RAH1909" s="27"/>
      <c r="RAI1909" s="24"/>
    </row>
    <row r="1910" spans="12201:12203">
      <c r="RAG1910" s="24"/>
      <c r="RAH1910" s="27"/>
      <c r="RAI1910" s="24"/>
    </row>
    <row r="1911" spans="12201:12203">
      <c r="RAG1911" s="24"/>
      <c r="RAH1911" s="27"/>
      <c r="RAI1911" s="24"/>
    </row>
    <row r="1912" spans="12201:12203">
      <c r="RAG1912" s="24"/>
      <c r="RAH1912" s="27"/>
      <c r="RAI1912" s="24"/>
    </row>
    <row r="1913" spans="12201:12203">
      <c r="RAG1913" s="24"/>
      <c r="RAH1913" s="27"/>
      <c r="RAI1913" s="24"/>
    </row>
  </sheetData>
  <sheetProtection algorithmName="SHA-512" hashValue="Crv/lIO6ZjLbkoaaOvbC6X7XiOGt6k32LRz/AU9a4CKGMhslSC8a+9PhD1sMb8V4wZHKAnaoT4oU2bHF3PQFHg==" saltValue="cP0bNt7AKriJWMCUcM1rmQ==" spinCount="100000" sheet="1" objects="1" scenarios="1" selectLockedCells="1"/>
  <mergeCells count="4">
    <mergeCell ref="RAH1904:RAH1913"/>
    <mergeCell ref="A1:D1"/>
    <mergeCell ref="A3:D6"/>
    <mergeCell ref="B2:D2"/>
  </mergeCells>
  <conditionalFormatting sqref="RAH1900">
    <cfRule type="expression" dxfId="6" priority="2">
      <formula>$RAH$1901&lt;&gt;0</formula>
    </cfRule>
  </conditionalFormatting>
  <conditionalFormatting sqref="RAH1901">
    <cfRule type="cellIs" dxfId="5" priority="3" operator="equal">
      <formula>0</formula>
    </cfRule>
  </conditionalFormatting>
  <conditionalFormatting sqref="RAH1903">
    <cfRule type="expression" dxfId="4" priority="1">
      <formula>$RAH$1904&lt;&gt;0</formula>
    </cfRule>
  </conditionalFormatting>
  <conditionalFormatting sqref="RAH1904:RAH1913">
    <cfRule type="cellIs" dxfId="3" priority="7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J100"/>
  <sheetViews>
    <sheetView workbookViewId="0">
      <selection activeCell="C10" sqref="C10"/>
    </sheetView>
  </sheetViews>
  <sheetFormatPr defaultColWidth="9.140625" defaultRowHeight="13.15"/>
  <cols>
    <col min="1" max="1" width="17.85546875" bestFit="1" customWidth="1"/>
    <col min="2" max="2" width="21.7109375" customWidth="1"/>
    <col min="3" max="3" width="30.28515625" customWidth="1"/>
    <col min="4" max="4" width="16" customWidth="1"/>
    <col min="5" max="6" width="13" customWidth="1"/>
    <col min="7" max="7" width="16.5703125" customWidth="1"/>
    <col min="8" max="8" width="18.7109375" customWidth="1"/>
    <col min="9" max="9" width="12.7109375" customWidth="1"/>
    <col min="10" max="10" width="13" customWidth="1"/>
  </cols>
  <sheetData>
    <row r="1" spans="1:10" ht="12.75"/>
    <row r="2" spans="1:10" ht="13.15" customHeight="1">
      <c r="A2" s="37" t="s">
        <v>7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13.15" customHeight="1">
      <c r="A3" s="37"/>
      <c r="B3" s="37"/>
      <c r="C3" s="37"/>
      <c r="D3" s="37"/>
      <c r="E3" s="37"/>
      <c r="F3" s="37"/>
      <c r="G3" s="37"/>
      <c r="H3" s="37"/>
      <c r="I3" s="37"/>
      <c r="J3" s="37"/>
    </row>
    <row r="4" spans="1:10" ht="12.75">
      <c r="A4" s="38" t="s">
        <v>8</v>
      </c>
      <c r="B4" s="34">
        <f ca="1">TODAY()</f>
        <v>46072</v>
      </c>
      <c r="C4" s="34"/>
      <c r="D4" s="38" t="s">
        <v>9</v>
      </c>
      <c r="F4" t="s">
        <v>10</v>
      </c>
    </row>
    <row r="5" spans="1:10">
      <c r="A5" s="38" t="s">
        <v>11</v>
      </c>
      <c r="B5" s="35">
        <f ca="1">NOW()</f>
        <v>46072.774753703707</v>
      </c>
      <c r="C5" s="35"/>
      <c r="D5" s="38" t="s">
        <v>12</v>
      </c>
      <c r="F5" t="s">
        <v>13</v>
      </c>
    </row>
    <row r="6" spans="1:10">
      <c r="A6" s="13"/>
      <c r="D6" s="38" t="s">
        <v>14</v>
      </c>
      <c r="F6" s="1" t="s">
        <v>15</v>
      </c>
      <c r="H6" s="38" t="s">
        <v>16</v>
      </c>
      <c r="I6" s="16">
        <f>VLOOKUP(F6,$F$23:$G$26,2,0)</f>
        <v>0.21</v>
      </c>
    </row>
    <row r="7" spans="1:10">
      <c r="F7" s="1"/>
      <c r="G7" s="1"/>
    </row>
    <row r="8" spans="1:10">
      <c r="A8" t="s">
        <v>17</v>
      </c>
      <c r="D8" t="s">
        <v>18</v>
      </c>
      <c r="E8" t="s">
        <v>19</v>
      </c>
      <c r="F8" s="1"/>
      <c r="G8" s="1"/>
    </row>
    <row r="9" spans="1:10">
      <c r="A9" t="s">
        <v>20</v>
      </c>
      <c r="B9" t="s">
        <v>21</v>
      </c>
      <c r="C9" t="s">
        <v>22</v>
      </c>
      <c r="E9" t="s">
        <v>23</v>
      </c>
      <c r="F9" s="1" t="s">
        <v>24</v>
      </c>
      <c r="G9" s="1" t="s">
        <v>25</v>
      </c>
      <c r="H9" t="s">
        <v>26</v>
      </c>
      <c r="I9" t="s">
        <v>27</v>
      </c>
      <c r="J9" t="s">
        <v>28</v>
      </c>
    </row>
    <row r="10" spans="1:10" ht="12.75">
      <c r="A10">
        <v>1330</v>
      </c>
      <c r="B10" s="1" t="str">
        <f>VLOOKUP(A10,$A$23:$D$37,2,0)</f>
        <v>Limpieza</v>
      </c>
      <c r="C10" s="1" t="str">
        <f>VLOOKUP(A10,$A$23:$D$37,3,0)</f>
        <v>Jabón "Shock"</v>
      </c>
      <c r="D10">
        <v>3</v>
      </c>
      <c r="E10" s="40">
        <f>VLOOKUP(A10,$A$23:$D$37,4,0)</f>
        <v>5.4</v>
      </c>
      <c r="F10" s="16">
        <f>IF(D10&gt;=4,0.1,0)</f>
        <v>0</v>
      </c>
      <c r="G10" s="39">
        <f>E10*(1-F10)</f>
        <v>5.4</v>
      </c>
      <c r="H10" s="40">
        <f>G10*D10</f>
        <v>16.200000000000003</v>
      </c>
      <c r="I10" s="40">
        <f>H10*I$6</f>
        <v>3.4020000000000006</v>
      </c>
      <c r="J10" s="40">
        <f>H10+I10</f>
        <v>19.602000000000004</v>
      </c>
    </row>
    <row r="11" spans="1:10" ht="12.75">
      <c r="A11">
        <v>1370</v>
      </c>
      <c r="B11" s="1" t="str">
        <f t="shared" ref="B11:B16" si="0">VLOOKUP(A11,$A$23:$D$37,2,0)</f>
        <v>Carnicería</v>
      </c>
      <c r="C11" s="1" t="str">
        <f t="shared" ref="C11:C16" si="1">VLOOKUP(A11,$A$23:$D$37,3,0)</f>
        <v>Lomo</v>
      </c>
      <c r="D11">
        <v>5</v>
      </c>
      <c r="E11" s="40">
        <f t="shared" ref="E11:E16" si="2">VLOOKUP(A11,$A$23:$D$37,4,0)</f>
        <v>75.400000000000006</v>
      </c>
      <c r="F11" s="16">
        <f t="shared" ref="F11:F16" si="3">IF(D11&gt;=4,0.1,0)</f>
        <v>0.1</v>
      </c>
      <c r="G11" s="39">
        <f t="shared" ref="G11:G16" si="4">E11*(1-F11)</f>
        <v>67.860000000000014</v>
      </c>
      <c r="H11" s="40">
        <f t="shared" ref="H11:H16" si="5">G11*D11</f>
        <v>339.30000000000007</v>
      </c>
      <c r="I11" s="40">
        <f t="shared" ref="I11:I17" si="6">H11*I$6</f>
        <v>71.253000000000014</v>
      </c>
      <c r="J11" s="40">
        <f t="shared" ref="J11:J16" si="7">H11+I11</f>
        <v>410.55300000000011</v>
      </c>
    </row>
    <row r="12" spans="1:10" ht="12.75">
      <c r="A12">
        <v>1390</v>
      </c>
      <c r="B12" s="1" t="str">
        <f t="shared" si="0"/>
        <v>Almacén</v>
      </c>
      <c r="C12" s="1" t="str">
        <f t="shared" si="1"/>
        <v>Sopa "Nor Suecia"</v>
      </c>
      <c r="D12">
        <v>1</v>
      </c>
      <c r="E12" s="40">
        <f t="shared" si="2"/>
        <v>14.7</v>
      </c>
      <c r="F12" s="16">
        <f t="shared" si="3"/>
        <v>0</v>
      </c>
      <c r="G12" s="39">
        <f t="shared" si="4"/>
        <v>14.7</v>
      </c>
      <c r="H12" s="40">
        <f t="shared" si="5"/>
        <v>14.7</v>
      </c>
      <c r="I12" s="40">
        <f t="shared" si="6"/>
        <v>3.0869999999999997</v>
      </c>
      <c r="J12" s="40">
        <f t="shared" si="7"/>
        <v>17.786999999999999</v>
      </c>
    </row>
    <row r="13" spans="1:10" ht="12.75">
      <c r="A13">
        <v>1320</v>
      </c>
      <c r="B13" s="1" t="str">
        <f t="shared" si="0"/>
        <v>Perfumería</v>
      </c>
      <c r="C13" s="1" t="str">
        <f t="shared" si="1"/>
        <v>Colonia "Y2K"</v>
      </c>
      <c r="D13" s="6">
        <v>5</v>
      </c>
      <c r="E13" s="40">
        <f t="shared" si="2"/>
        <v>46</v>
      </c>
      <c r="F13" s="16">
        <f t="shared" si="3"/>
        <v>0.1</v>
      </c>
      <c r="G13" s="39">
        <f t="shared" si="4"/>
        <v>41.4</v>
      </c>
      <c r="H13" s="40">
        <f t="shared" si="5"/>
        <v>207</v>
      </c>
      <c r="I13" s="40">
        <f t="shared" si="6"/>
        <v>43.47</v>
      </c>
      <c r="J13" s="40">
        <f t="shared" si="7"/>
        <v>250.47</v>
      </c>
    </row>
    <row r="14" spans="1:10" ht="12.75">
      <c r="A14">
        <v>1360</v>
      </c>
      <c r="B14" s="1" t="str">
        <f t="shared" si="0"/>
        <v>Bebidas</v>
      </c>
      <c r="C14" s="1" t="str">
        <f t="shared" si="1"/>
        <v>Jugo "Hugo"</v>
      </c>
      <c r="D14">
        <v>2</v>
      </c>
      <c r="E14" s="40">
        <f t="shared" si="2"/>
        <v>2.8</v>
      </c>
      <c r="F14" s="16">
        <f t="shared" si="3"/>
        <v>0</v>
      </c>
      <c r="G14" s="39">
        <f t="shared" si="4"/>
        <v>2.8</v>
      </c>
      <c r="H14" s="40">
        <f t="shared" si="5"/>
        <v>5.6</v>
      </c>
      <c r="I14" s="40">
        <f t="shared" si="6"/>
        <v>1.1759999999999999</v>
      </c>
      <c r="J14" s="40">
        <f t="shared" si="7"/>
        <v>6.7759999999999998</v>
      </c>
    </row>
    <row r="15" spans="1:10" ht="12.75">
      <c r="A15">
        <v>1340</v>
      </c>
      <c r="B15" s="1" t="str">
        <f t="shared" si="0"/>
        <v>Almacén</v>
      </c>
      <c r="C15" s="1" t="str">
        <f t="shared" si="1"/>
        <v>Atún "Tuna"</v>
      </c>
      <c r="D15">
        <v>8</v>
      </c>
      <c r="E15" s="40">
        <f t="shared" si="2"/>
        <v>15.4</v>
      </c>
      <c r="F15" s="16">
        <f t="shared" si="3"/>
        <v>0.1</v>
      </c>
      <c r="G15" s="39">
        <f t="shared" si="4"/>
        <v>13.860000000000001</v>
      </c>
      <c r="H15" s="40">
        <f t="shared" si="5"/>
        <v>110.88000000000001</v>
      </c>
      <c r="I15" s="40">
        <f t="shared" si="6"/>
        <v>23.284800000000001</v>
      </c>
      <c r="J15" s="40">
        <f t="shared" si="7"/>
        <v>134.16480000000001</v>
      </c>
    </row>
    <row r="16" spans="1:10" ht="12.75">
      <c r="A16">
        <v>1300</v>
      </c>
      <c r="B16" s="1" t="str">
        <f t="shared" si="0"/>
        <v>Almacén</v>
      </c>
      <c r="C16" s="1" t="str">
        <f t="shared" si="1"/>
        <v>Yerba "Yuyito"</v>
      </c>
      <c r="D16">
        <v>4</v>
      </c>
      <c r="E16" s="40">
        <f t="shared" si="2"/>
        <v>25.5</v>
      </c>
      <c r="F16" s="16">
        <f t="shared" si="3"/>
        <v>0.1</v>
      </c>
      <c r="G16" s="39">
        <f t="shared" si="4"/>
        <v>22.95</v>
      </c>
      <c r="H16" s="40">
        <f t="shared" si="5"/>
        <v>91.8</v>
      </c>
      <c r="I16" s="40">
        <f t="shared" si="6"/>
        <v>19.277999999999999</v>
      </c>
      <c r="J16" s="40">
        <f t="shared" si="7"/>
        <v>111.078</v>
      </c>
    </row>
    <row r="17" spans="1:10">
      <c r="F17" s="13" t="s">
        <v>29</v>
      </c>
      <c r="H17" s="40">
        <f>SUM(H10:H16)</f>
        <v>785.48</v>
      </c>
      <c r="I17" s="40">
        <f t="shared" si="6"/>
        <v>164.95079999999999</v>
      </c>
      <c r="J17" s="40">
        <f>SUM(J10:J16)</f>
        <v>950.43079999999998</v>
      </c>
    </row>
    <row r="18" spans="1:10">
      <c r="F18" s="1"/>
    </row>
    <row r="19" spans="1:10" ht="24">
      <c r="A19" t="s">
        <v>30</v>
      </c>
      <c r="D19" s="36">
        <f>ROUNDUP(J17/7,0)</f>
        <v>136</v>
      </c>
      <c r="E19" t="s">
        <v>31</v>
      </c>
      <c r="F19" s="1"/>
    </row>
    <row r="20" spans="1:10">
      <c r="A20" t="s">
        <v>32</v>
      </c>
      <c r="F20" s="1"/>
    </row>
    <row r="22" spans="1:10">
      <c r="A22" t="s">
        <v>33</v>
      </c>
      <c r="F22" t="s">
        <v>34</v>
      </c>
    </row>
    <row r="23" spans="1:10">
      <c r="A23" t="s">
        <v>20</v>
      </c>
      <c r="B23" t="s">
        <v>21</v>
      </c>
      <c r="C23" t="s">
        <v>22</v>
      </c>
      <c r="D23" t="s">
        <v>35</v>
      </c>
      <c r="F23" t="s">
        <v>36</v>
      </c>
      <c r="G23" t="s">
        <v>37</v>
      </c>
    </row>
    <row r="24" spans="1:10">
      <c r="A24">
        <v>1300</v>
      </c>
      <c r="B24" t="s">
        <v>38</v>
      </c>
      <c r="C24" t="s">
        <v>39</v>
      </c>
      <c r="D24">
        <v>25.5</v>
      </c>
      <c r="F24" t="s">
        <v>40</v>
      </c>
      <c r="G24" s="5">
        <v>0</v>
      </c>
    </row>
    <row r="25" spans="1:10">
      <c r="A25">
        <v>1310</v>
      </c>
      <c r="B25" t="s">
        <v>38</v>
      </c>
      <c r="C25" t="s">
        <v>41</v>
      </c>
      <c r="D25">
        <v>9.8000000000000007</v>
      </c>
      <c r="F25" t="s">
        <v>42</v>
      </c>
      <c r="G25" s="5">
        <v>0.315</v>
      </c>
    </row>
    <row r="26" spans="1:10">
      <c r="A26">
        <v>1320</v>
      </c>
      <c r="B26" t="s">
        <v>43</v>
      </c>
      <c r="C26" t="s">
        <v>44</v>
      </c>
      <c r="D26">
        <v>46</v>
      </c>
      <c r="F26" t="s">
        <v>15</v>
      </c>
      <c r="G26" s="5">
        <v>0.21</v>
      </c>
    </row>
    <row r="27" spans="1:10">
      <c r="A27">
        <v>1330</v>
      </c>
      <c r="B27" t="s">
        <v>45</v>
      </c>
      <c r="C27" t="s">
        <v>46</v>
      </c>
      <c r="D27">
        <v>5.4</v>
      </c>
    </row>
    <row r="28" spans="1:10">
      <c r="A28">
        <v>1340</v>
      </c>
      <c r="B28" t="s">
        <v>38</v>
      </c>
      <c r="C28" t="s">
        <v>47</v>
      </c>
      <c r="D28">
        <v>15.4</v>
      </c>
    </row>
    <row r="29" spans="1:10">
      <c r="A29">
        <v>1350</v>
      </c>
      <c r="B29" t="s">
        <v>48</v>
      </c>
      <c r="C29" t="s">
        <v>49</v>
      </c>
      <c r="D29">
        <v>12.8</v>
      </c>
    </row>
    <row r="30" spans="1:10">
      <c r="A30">
        <v>1360</v>
      </c>
      <c r="B30" t="s">
        <v>48</v>
      </c>
      <c r="C30" t="s">
        <v>50</v>
      </c>
      <c r="D30">
        <v>2.8</v>
      </c>
    </row>
    <row r="31" spans="1:10">
      <c r="A31">
        <v>1370</v>
      </c>
      <c r="B31" t="s">
        <v>51</v>
      </c>
      <c r="C31" t="s">
        <v>52</v>
      </c>
      <c r="D31">
        <v>75.400000000000006</v>
      </c>
    </row>
    <row r="32" spans="1:10">
      <c r="A32">
        <v>1380</v>
      </c>
      <c r="B32" t="s">
        <v>43</v>
      </c>
      <c r="C32" t="s">
        <v>53</v>
      </c>
      <c r="D32">
        <v>12.6</v>
      </c>
    </row>
    <row r="33" spans="1:4">
      <c r="A33">
        <v>1390</v>
      </c>
      <c r="B33" t="s">
        <v>38</v>
      </c>
      <c r="C33" t="s">
        <v>54</v>
      </c>
      <c r="D33">
        <v>14.7</v>
      </c>
    </row>
    <row r="34" spans="1:4">
      <c r="A34">
        <v>1400</v>
      </c>
      <c r="B34" t="s">
        <v>51</v>
      </c>
      <c r="C34" t="s">
        <v>55</v>
      </c>
      <c r="D34">
        <v>60.4</v>
      </c>
    </row>
    <row r="35" spans="1:4">
      <c r="A35">
        <v>1425</v>
      </c>
      <c r="B35" t="s">
        <v>56</v>
      </c>
      <c r="C35" t="s">
        <v>57</v>
      </c>
      <c r="D35">
        <v>125</v>
      </c>
    </row>
    <row r="36" spans="1:4">
      <c r="A36">
        <v>1450</v>
      </c>
      <c r="B36" t="s">
        <v>56</v>
      </c>
      <c r="C36" t="s">
        <v>58</v>
      </c>
      <c r="D36">
        <v>75.5</v>
      </c>
    </row>
    <row r="37" spans="1:4">
      <c r="A37">
        <v>1495</v>
      </c>
      <c r="B37" t="s">
        <v>48</v>
      </c>
      <c r="C37" t="s">
        <v>59</v>
      </c>
      <c r="D37">
        <v>14.3</v>
      </c>
    </row>
    <row r="100" spans="1:1">
      <c r="A100" s="19">
        <v>41730</v>
      </c>
    </row>
  </sheetData>
  <mergeCells count="1">
    <mergeCell ref="A2:J3"/>
  </mergeCells>
  <phoneticPr fontId="0" type="noConversion"/>
  <dataValidations count="1">
    <dataValidation type="list" allowBlank="1" showInputMessage="1" showErrorMessage="1" error="No se pueden ingresar datos fuera de la lista" prompt="Solo se permiten los datos de la lista" sqref="F6" xr:uid="{50BD895F-60F7-406B-BDEA-94DC7B28B54A}">
      <formula1>$F$24:$F$26</formula1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J86"/>
  <sheetViews>
    <sheetView workbookViewId="0">
      <selection activeCell="H17" sqref="H17"/>
    </sheetView>
  </sheetViews>
  <sheetFormatPr defaultColWidth="11.42578125" defaultRowHeight="13.15"/>
  <cols>
    <col min="1" max="1" width="17" customWidth="1"/>
    <col min="2" max="2" width="16.85546875" customWidth="1"/>
    <col min="3" max="3" width="17.42578125" customWidth="1"/>
    <col min="5" max="5" width="21.28515625" customWidth="1"/>
    <col min="6" max="6" width="14.140625" customWidth="1"/>
    <col min="8" max="8" width="17.140625" customWidth="1"/>
    <col min="9" max="9" width="17.85546875" customWidth="1"/>
    <col min="12" max="12" width="15.28515625" customWidth="1"/>
  </cols>
  <sheetData>
    <row r="1" spans="1:9" ht="12.75"/>
    <row r="2" spans="1:9" ht="13.15" customHeight="1">
      <c r="A2" s="41" t="s">
        <v>60</v>
      </c>
      <c r="B2" s="41"/>
      <c r="C2" s="41"/>
      <c r="D2" s="41"/>
      <c r="E2" s="41"/>
      <c r="F2" s="41"/>
      <c r="G2" s="41"/>
      <c r="H2" s="41"/>
      <c r="I2" s="41"/>
    </row>
    <row r="3" spans="1:9" ht="16.5" customHeight="1">
      <c r="A3" s="41"/>
      <c r="B3" s="41"/>
      <c r="C3" s="41"/>
      <c r="D3" s="41"/>
      <c r="E3" s="41"/>
      <c r="F3" s="41"/>
      <c r="G3" s="41"/>
      <c r="H3" s="41"/>
      <c r="I3" s="41"/>
    </row>
    <row r="4" spans="1:9" ht="35.25" customHeight="1">
      <c r="A4" s="48" t="s">
        <v>61</v>
      </c>
      <c r="B4" s="48" t="s">
        <v>62</v>
      </c>
      <c r="C4" s="49" t="s">
        <v>63</v>
      </c>
      <c r="D4" s="48" t="s">
        <v>64</v>
      </c>
      <c r="E4" s="48" t="s">
        <v>65</v>
      </c>
      <c r="F4" s="48" t="s">
        <v>66</v>
      </c>
      <c r="G4" s="48" t="s">
        <v>67</v>
      </c>
      <c r="H4" s="48" t="s">
        <v>68</v>
      </c>
      <c r="I4" s="48" t="s">
        <v>69</v>
      </c>
    </row>
    <row r="5" spans="1:9" ht="20.25" customHeight="1">
      <c r="A5" s="42">
        <v>112</v>
      </c>
      <c r="B5" s="44" t="str">
        <f>VLOOKUP(A5,$A$21:$C$36,2,0)</f>
        <v>Flores, Pedro</v>
      </c>
      <c r="C5" s="45" t="str">
        <f>HLOOKUP(VLOOKUP(A5,$A$21:$C$36,3,0),$E$21:$J$23,2,0)</f>
        <v>Pediatría</v>
      </c>
      <c r="D5" s="46">
        <v>42931</v>
      </c>
      <c r="E5" s="44" t="str" cm="1">
        <f t="array" ref="E5">_xlfn.IFS(C5="Pediatría","ALTA",C5="Traumatología","ALTA",C5="Oftalmología","NORMAL",TRUE,"BAJA")</f>
        <v>ALTA</v>
      </c>
      <c r="F5" s="45" cm="1">
        <f t="array" ref="F5">_xlfn.IFS(AND(C5="Traumatología",D5&gt;DATE(2017,7,10)),25,TRUE,20)</f>
        <v>20</v>
      </c>
      <c r="G5" s="44" t="s">
        <v>70</v>
      </c>
      <c r="H5" s="46">
        <f>IF(G5="si",D5+7,D5+60)</f>
        <v>42938</v>
      </c>
      <c r="I5" s="47">
        <f>HLOOKUP(VLOOKUP(A5,$A$22:$C$36,3,0),$E$21:$J$23,3,0)*IF(E5="ALTA",1.2,1)</f>
        <v>156</v>
      </c>
    </row>
    <row r="6" spans="1:9" ht="12.75">
      <c r="A6" s="42">
        <v>120</v>
      </c>
      <c r="B6" s="44" t="str">
        <f t="shared" ref="B6:B17" si="0">VLOOKUP(A6,$A$21:$C$36,2,0)</f>
        <v>Jerez, Marcos</v>
      </c>
      <c r="C6" s="45" t="str">
        <f t="shared" ref="C6:C17" si="1">HLOOKUP(VLOOKUP(A6,$A$21:$C$36,3,0),$E$21:$J$23,2,0)</f>
        <v>Traumatología</v>
      </c>
      <c r="D6" s="46">
        <v>42926</v>
      </c>
      <c r="E6" s="44" t="str" cm="1">
        <f t="array" ref="E6">_xlfn.IFS(C6="Pediatría","ALTA",C6="Traumatología","ALTA",C6="Oftalmología","NORMAL",TRUE,"BAJA")</f>
        <v>ALTA</v>
      </c>
      <c r="F6" s="45" cm="1">
        <f t="array" ref="F6">_xlfn.IFS(AND(C6="Traumatología",D6&gt;DATE(2017,7,10)),25,TRUE,20)</f>
        <v>20</v>
      </c>
      <c r="G6" s="44" t="s">
        <v>70</v>
      </c>
      <c r="H6" s="46">
        <f>IF(G6="si",D6+7,D6+60)</f>
        <v>42933</v>
      </c>
      <c r="I6" s="47">
        <f t="shared" ref="I6:I17" si="2">HLOOKUP(VLOOKUP(A6,$A$22:$C$36,3,0),$E$21:$J$23,3,0)*IF(E6="ALTA",1.2,1)</f>
        <v>216</v>
      </c>
    </row>
    <row r="7" spans="1:9" ht="12.75">
      <c r="A7" s="42">
        <v>115</v>
      </c>
      <c r="B7" s="44" t="str">
        <f t="shared" si="0"/>
        <v>Forino, Hector</v>
      </c>
      <c r="C7" s="45" t="str">
        <f t="shared" si="1"/>
        <v>Traumatología</v>
      </c>
      <c r="D7" s="46">
        <v>42927</v>
      </c>
      <c r="E7" s="44" t="str" cm="1">
        <f t="array" ref="E7">_xlfn.IFS(C7="Pediatría","ALTA",C7="Traumatología","ALTA",C7="Oftalmología","NORMAL",TRUE,"BAJA")</f>
        <v>ALTA</v>
      </c>
      <c r="F7" s="45" cm="1">
        <f t="array" ref="F7">_xlfn.IFS(AND(C7="Traumatología",D7&gt;DATE(2017,7,10)),25,TRUE,20)</f>
        <v>25</v>
      </c>
      <c r="G7" s="44" t="s">
        <v>70</v>
      </c>
      <c r="H7" s="46">
        <f t="shared" ref="H6:H17" si="3">IF(G7="si",D7+7,D7+60)</f>
        <v>42934</v>
      </c>
      <c r="I7" s="47">
        <f t="shared" si="2"/>
        <v>216</v>
      </c>
    </row>
    <row r="8" spans="1:9" ht="12.75">
      <c r="A8" s="42">
        <v>125</v>
      </c>
      <c r="B8" s="44" t="str">
        <f t="shared" si="0"/>
        <v>Ponce, Helena</v>
      </c>
      <c r="C8" s="45" t="str">
        <f t="shared" si="1"/>
        <v>Oftalmología</v>
      </c>
      <c r="D8" s="46">
        <v>42923</v>
      </c>
      <c r="E8" s="44" t="str" cm="1">
        <f t="array" ref="E8">_xlfn.IFS(C8="Pediatría","ALTA",C8="Traumatología","ALTA",C8="Oftalmología","NORMAL",TRUE,"BAJA")</f>
        <v>NORMAL</v>
      </c>
      <c r="F8" s="45" cm="1">
        <f t="array" ref="F8">_xlfn.IFS(AND(C8="Traumatología",D8&gt;DATE(2017,7,10)),25,TRUE,20)</f>
        <v>20</v>
      </c>
      <c r="G8" s="44" t="s">
        <v>71</v>
      </c>
      <c r="H8" s="46">
        <f t="shared" si="3"/>
        <v>42983</v>
      </c>
      <c r="I8" s="47">
        <f t="shared" si="2"/>
        <v>150</v>
      </c>
    </row>
    <row r="9" spans="1:9" ht="12.75">
      <c r="A9" s="42">
        <v>109</v>
      </c>
      <c r="B9" s="44" t="str">
        <f t="shared" si="0"/>
        <v>Pietra, Laura</v>
      </c>
      <c r="C9" s="45" t="str">
        <f t="shared" si="1"/>
        <v>Dermatología</v>
      </c>
      <c r="D9" s="46">
        <v>42934</v>
      </c>
      <c r="E9" s="44" t="str" cm="1">
        <f t="array" ref="E9">_xlfn.IFS(C9="Pediatría","ALTA",C9="Traumatología","ALTA",C9="Oftalmología","NORMAL",TRUE,"BAJA")</f>
        <v>BAJA</v>
      </c>
      <c r="F9" s="45" cm="1">
        <f t="array" ref="F9">_xlfn.IFS(AND(C9="Traumatología",D9&gt;DATE(2017,7,10)),25,TRUE,20)</f>
        <v>20</v>
      </c>
      <c r="G9" s="44" t="s">
        <v>70</v>
      </c>
      <c r="H9" s="46">
        <f t="shared" si="3"/>
        <v>42941</v>
      </c>
      <c r="I9" s="47">
        <f t="shared" si="2"/>
        <v>150</v>
      </c>
    </row>
    <row r="10" spans="1:9" ht="12.75">
      <c r="A10" s="42">
        <v>108</v>
      </c>
      <c r="B10" s="44" t="str">
        <f t="shared" si="0"/>
        <v>Vilches, Luis</v>
      </c>
      <c r="C10" s="45" t="str">
        <f t="shared" si="1"/>
        <v>Clínica</v>
      </c>
      <c r="D10" s="46">
        <v>42939</v>
      </c>
      <c r="E10" s="44" t="str" cm="1">
        <f t="array" ref="E10">_xlfn.IFS(C10="Pediatría","ALTA",C10="Traumatología","ALTA",C10="Oftalmología","NORMAL",TRUE,"BAJA")</f>
        <v>BAJA</v>
      </c>
      <c r="F10" s="45" cm="1">
        <f t="array" ref="F10">_xlfn.IFS(AND(C10="Traumatología",D10&gt;DATE(2017,7,10)),25,TRUE,20)</f>
        <v>20</v>
      </c>
      <c r="G10" s="44" t="s">
        <v>70</v>
      </c>
      <c r="H10" s="46">
        <f t="shared" si="3"/>
        <v>42946</v>
      </c>
      <c r="I10" s="47">
        <f t="shared" si="2"/>
        <v>100</v>
      </c>
    </row>
    <row r="11" spans="1:9" ht="12.75">
      <c r="A11" s="42">
        <v>130</v>
      </c>
      <c r="B11" s="44" t="str">
        <f t="shared" si="0"/>
        <v>Pitani, José</v>
      </c>
      <c r="C11" s="45" t="str">
        <f t="shared" si="1"/>
        <v>Traumatología</v>
      </c>
      <c r="D11" s="46">
        <v>42943</v>
      </c>
      <c r="E11" s="44" t="str" cm="1">
        <f t="array" ref="E11">_xlfn.IFS(C11="Pediatría","ALTA",C11="Traumatología","ALTA",C11="Oftalmología","NORMAL",TRUE,"BAJA")</f>
        <v>ALTA</v>
      </c>
      <c r="F11" s="45" cm="1">
        <f t="array" ref="F11">_xlfn.IFS(AND(C11="Traumatología",D11&gt;DATE(2017,7,10)),25,TRUE,20)</f>
        <v>25</v>
      </c>
      <c r="G11" s="44" t="s">
        <v>70</v>
      </c>
      <c r="H11" s="46">
        <f t="shared" si="3"/>
        <v>42950</v>
      </c>
      <c r="I11" s="47">
        <f t="shared" si="2"/>
        <v>216</v>
      </c>
    </row>
    <row r="12" spans="1:9" ht="12.75">
      <c r="A12" s="42">
        <v>142</v>
      </c>
      <c r="B12" s="44" t="str">
        <f t="shared" si="0"/>
        <v>López, Ana</v>
      </c>
      <c r="C12" s="45" t="str">
        <f t="shared" si="1"/>
        <v>Traumatología</v>
      </c>
      <c r="D12" s="46">
        <v>42929</v>
      </c>
      <c r="E12" s="44" t="str" cm="1">
        <f t="array" ref="E12">_xlfn.IFS(C12="Pediatría","ALTA",C12="Traumatología","ALTA",C12="Oftalmología","NORMAL",TRUE,"BAJA")</f>
        <v>ALTA</v>
      </c>
      <c r="F12" s="45" cm="1">
        <f t="array" ref="F12">_xlfn.IFS(AND(C12="Traumatología",D12&gt;DATE(2017,7,10)),25,TRUE,20)</f>
        <v>25</v>
      </c>
      <c r="G12" s="44" t="s">
        <v>70</v>
      </c>
      <c r="H12" s="46">
        <f t="shared" si="3"/>
        <v>42936</v>
      </c>
      <c r="I12" s="47">
        <f t="shared" si="2"/>
        <v>216</v>
      </c>
    </row>
    <row r="13" spans="1:9" ht="12.75">
      <c r="A13" s="42">
        <v>128</v>
      </c>
      <c r="B13" s="44" t="str">
        <f t="shared" si="0"/>
        <v>Pérez, Roberto</v>
      </c>
      <c r="C13" s="45" t="str">
        <f t="shared" si="1"/>
        <v>Oftalmología</v>
      </c>
      <c r="D13" s="46">
        <v>42937</v>
      </c>
      <c r="E13" s="44" t="str" cm="1">
        <f t="array" ref="E13">_xlfn.IFS(C13="Pediatría","ALTA",C13="Traumatología","ALTA",C13="Oftalmología","NORMAL",TRUE,"BAJA")</f>
        <v>NORMAL</v>
      </c>
      <c r="F13" s="45" cm="1">
        <f t="array" ref="F13">_xlfn.IFS(AND(C13="Traumatología",D13&gt;DATE(2017,7,10)),25,TRUE,20)</f>
        <v>20</v>
      </c>
      <c r="G13" s="44" t="s">
        <v>71</v>
      </c>
      <c r="H13" s="46">
        <f t="shared" si="3"/>
        <v>42997</v>
      </c>
      <c r="I13" s="47">
        <f t="shared" si="2"/>
        <v>150</v>
      </c>
    </row>
    <row r="14" spans="1:9" ht="12.75">
      <c r="A14" s="42">
        <v>113</v>
      </c>
      <c r="B14" s="44" t="str">
        <f t="shared" si="0"/>
        <v>López, María</v>
      </c>
      <c r="C14" s="45" t="str">
        <f t="shared" si="1"/>
        <v>Clínica</v>
      </c>
      <c r="D14" s="46">
        <v>42926</v>
      </c>
      <c r="E14" s="44" t="str" cm="1">
        <f t="array" ref="E14">_xlfn.IFS(C14="Pediatría","ALTA",C14="Traumatología","ALTA",C14="Oftalmología","NORMAL",TRUE,"BAJA")</f>
        <v>BAJA</v>
      </c>
      <c r="F14" s="45" cm="1">
        <f t="array" ref="F14">_xlfn.IFS(AND(C14="Traumatología",D14&gt;DATE(2017,7,10)),25,TRUE,20)</f>
        <v>20</v>
      </c>
      <c r="G14" s="44" t="s">
        <v>71</v>
      </c>
      <c r="H14" s="46">
        <f t="shared" si="3"/>
        <v>42986</v>
      </c>
      <c r="I14" s="47">
        <f t="shared" si="2"/>
        <v>100</v>
      </c>
    </row>
    <row r="15" spans="1:9" ht="12.75">
      <c r="A15" s="42">
        <v>122</v>
      </c>
      <c r="B15" s="44" t="str">
        <f t="shared" si="0"/>
        <v>Rosso, Marta</v>
      </c>
      <c r="C15" s="45" t="str">
        <f t="shared" si="1"/>
        <v>Traumatología</v>
      </c>
      <c r="D15" s="46">
        <v>42930</v>
      </c>
      <c r="E15" s="44" t="str" cm="1">
        <f t="array" ref="E15">_xlfn.IFS(C15="Pediatría","ALTA",C15="Traumatología","ALTA",C15="Oftalmología","NORMAL",TRUE,"BAJA")</f>
        <v>ALTA</v>
      </c>
      <c r="F15" s="45" cm="1">
        <f t="array" ref="F15">_xlfn.IFS(AND(C15="Traumatología",D15&gt;DATE(2017,7,10)),25,TRUE,20)</f>
        <v>25</v>
      </c>
      <c r="G15" s="44" t="s">
        <v>70</v>
      </c>
      <c r="H15" s="46">
        <f t="shared" si="3"/>
        <v>42937</v>
      </c>
      <c r="I15" s="47">
        <f t="shared" si="2"/>
        <v>216</v>
      </c>
    </row>
    <row r="16" spans="1:9" ht="12.75">
      <c r="A16" s="42">
        <v>117</v>
      </c>
      <c r="B16" s="44" t="str">
        <f t="shared" si="0"/>
        <v>Olmedo, Leonor</v>
      </c>
      <c r="C16" s="45" t="str">
        <f t="shared" si="1"/>
        <v>Clínica</v>
      </c>
      <c r="D16" s="46">
        <v>42934</v>
      </c>
      <c r="E16" s="44" t="str" cm="1">
        <f t="array" ref="E16">_xlfn.IFS(C16="Pediatría","ALTA",C16="Traumatología","ALTA",C16="Oftalmología","NORMAL",TRUE,"BAJA")</f>
        <v>BAJA</v>
      </c>
      <c r="F16" s="45" cm="1">
        <f t="array" ref="F16">_xlfn.IFS(AND(C16="Traumatología",D16&gt;DATE(2017,7,10)),25,TRUE,20)</f>
        <v>20</v>
      </c>
      <c r="G16" s="44" t="s">
        <v>71</v>
      </c>
      <c r="H16" s="46">
        <f t="shared" si="3"/>
        <v>42994</v>
      </c>
      <c r="I16" s="47">
        <f t="shared" si="2"/>
        <v>100</v>
      </c>
    </row>
    <row r="17" spans="1:10" ht="12.75">
      <c r="A17" s="42">
        <v>148</v>
      </c>
      <c r="B17" s="44" t="str">
        <f t="shared" si="0"/>
        <v>Llach, Martin</v>
      </c>
      <c r="C17" s="45" t="str">
        <f t="shared" si="1"/>
        <v>Oftalmología</v>
      </c>
      <c r="D17" s="46">
        <v>42939</v>
      </c>
      <c r="E17" s="44" t="str" cm="1">
        <f t="array" ref="E17">_xlfn.IFS(C17="Pediatría","ALTA",C17="Traumatología","ALTA",C17="Oftalmología","NORMAL",TRUE,"BAJA")</f>
        <v>NORMAL</v>
      </c>
      <c r="F17" s="45" cm="1">
        <f t="array" ref="F17">_xlfn.IFS(AND(C17="Traumatología",D17&gt;DATE(2017,7,10)),25,TRUE,20)</f>
        <v>20</v>
      </c>
      <c r="G17" s="44" t="s">
        <v>70</v>
      </c>
      <c r="H17" s="46">
        <f t="shared" si="3"/>
        <v>42946</v>
      </c>
      <c r="I17" s="47">
        <f t="shared" si="2"/>
        <v>150</v>
      </c>
    </row>
    <row r="18" spans="1:10">
      <c r="C18" s="2"/>
      <c r="D18" s="1"/>
      <c r="F18" s="1"/>
      <c r="G18" s="1"/>
      <c r="H18" s="1"/>
    </row>
    <row r="21" spans="1:10">
      <c r="A21" t="s">
        <v>61</v>
      </c>
      <c r="B21" t="s">
        <v>62</v>
      </c>
      <c r="C21" t="s">
        <v>72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</row>
    <row r="22" spans="1:10">
      <c r="A22">
        <v>101</v>
      </c>
      <c r="B22" t="s">
        <v>78</v>
      </c>
      <c r="C22" t="s">
        <v>73</v>
      </c>
      <c r="E22" t="s">
        <v>63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</row>
    <row r="23" spans="1:10">
      <c r="A23">
        <v>128</v>
      </c>
      <c r="B23" t="s">
        <v>84</v>
      </c>
      <c r="C23" t="s">
        <v>73</v>
      </c>
      <c r="E23" t="s">
        <v>69</v>
      </c>
      <c r="F23">
        <v>150</v>
      </c>
      <c r="G23">
        <v>100</v>
      </c>
      <c r="H23">
        <v>180</v>
      </c>
      <c r="I23">
        <v>130</v>
      </c>
      <c r="J23">
        <v>150</v>
      </c>
    </row>
    <row r="24" spans="1:10">
      <c r="A24">
        <v>142</v>
      </c>
      <c r="B24" t="s">
        <v>85</v>
      </c>
      <c r="C24" t="s">
        <v>75</v>
      </c>
    </row>
    <row r="25" spans="1:10">
      <c r="A25">
        <v>108</v>
      </c>
      <c r="B25" t="s">
        <v>86</v>
      </c>
      <c r="C25" s="13" t="s">
        <v>74</v>
      </c>
    </row>
    <row r="26" spans="1:10">
      <c r="A26">
        <v>112</v>
      </c>
      <c r="B26" t="s">
        <v>87</v>
      </c>
      <c r="C26" t="s">
        <v>76</v>
      </c>
    </row>
    <row r="27" spans="1:10">
      <c r="A27">
        <v>115</v>
      </c>
      <c r="B27" t="s">
        <v>88</v>
      </c>
      <c r="C27" t="s">
        <v>75</v>
      </c>
    </row>
    <row r="28" spans="1:10">
      <c r="A28">
        <v>120</v>
      </c>
      <c r="B28" t="s">
        <v>89</v>
      </c>
      <c r="C28" t="s">
        <v>75</v>
      </c>
    </row>
    <row r="29" spans="1:10">
      <c r="A29">
        <v>125</v>
      </c>
      <c r="B29" t="s">
        <v>90</v>
      </c>
      <c r="C29" t="s">
        <v>73</v>
      </c>
    </row>
    <row r="30" spans="1:10">
      <c r="A30">
        <v>130</v>
      </c>
      <c r="B30" t="s">
        <v>91</v>
      </c>
      <c r="C30" t="s">
        <v>75</v>
      </c>
    </row>
    <row r="31" spans="1:10">
      <c r="A31">
        <v>131</v>
      </c>
      <c r="B31" t="s">
        <v>92</v>
      </c>
      <c r="C31" t="s">
        <v>75</v>
      </c>
    </row>
    <row r="32" spans="1:10">
      <c r="A32">
        <v>113</v>
      </c>
      <c r="B32" t="s">
        <v>93</v>
      </c>
      <c r="C32" t="s">
        <v>74</v>
      </c>
    </row>
    <row r="33" spans="1:3">
      <c r="A33">
        <v>109</v>
      </c>
      <c r="B33" t="s">
        <v>94</v>
      </c>
      <c r="C33" t="s">
        <v>77</v>
      </c>
    </row>
    <row r="34" spans="1:3">
      <c r="A34">
        <v>148</v>
      </c>
      <c r="B34" t="s">
        <v>95</v>
      </c>
      <c r="C34" t="s">
        <v>73</v>
      </c>
    </row>
    <row r="35" spans="1:3">
      <c r="A35">
        <v>117</v>
      </c>
      <c r="B35" t="s">
        <v>96</v>
      </c>
      <c r="C35" t="s">
        <v>74</v>
      </c>
    </row>
    <row r="36" spans="1:3">
      <c r="A36">
        <v>122</v>
      </c>
      <c r="B36" t="s">
        <v>97</v>
      </c>
      <c r="C36" t="s">
        <v>75</v>
      </c>
    </row>
    <row r="86" spans="1:1">
      <c r="A86" s="19">
        <v>41730</v>
      </c>
    </row>
  </sheetData>
  <mergeCells count="1">
    <mergeCell ref="A2:I3"/>
  </mergeCells>
  <phoneticPr fontId="4" type="noConversion"/>
  <conditionalFormatting sqref="E5:E17">
    <cfRule type="containsText" dxfId="2" priority="3" operator="containsText" text="ALTA">
      <formula>NOT(ISERROR(SEARCH("ALTA",E5)))</formula>
    </cfRule>
  </conditionalFormatting>
  <conditionalFormatting sqref="E5:E17">
    <cfRule type="containsText" dxfId="1" priority="2" operator="containsText" text="NORMAL">
      <formula>NOT(ISERROR(SEARCH("NORMAL",E5)))</formula>
    </cfRule>
  </conditionalFormatting>
  <conditionalFormatting sqref="E5:E17">
    <cfRule type="containsText" dxfId="0" priority="1" operator="containsText" text="BAJA">
      <formula>NOT(ISERROR(SEARCH("BAJA",E5)))</formula>
    </cfRule>
  </conditionalFormatting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5"/>
  </sheetPr>
  <dimension ref="A1:F1002"/>
  <sheetViews>
    <sheetView workbookViewId="0">
      <selection activeCell="H24" sqref="H24"/>
    </sheetView>
  </sheetViews>
  <sheetFormatPr defaultColWidth="11.42578125" defaultRowHeight="13.15"/>
  <cols>
    <col min="5" max="5" width="16" customWidth="1"/>
    <col min="6" max="6" width="17.7109375" customWidth="1"/>
  </cols>
  <sheetData>
    <row r="1" spans="1:6" ht="12.75"/>
    <row r="2" spans="1:6" ht="18.75" customHeight="1">
      <c r="A2" s="52" t="s">
        <v>98</v>
      </c>
      <c r="B2" s="52"/>
      <c r="C2" s="52"/>
      <c r="D2" s="52"/>
      <c r="E2" s="52"/>
      <c r="F2" s="52"/>
    </row>
    <row r="3" spans="1:6" ht="12.75"/>
    <row r="4" spans="1:6" ht="23.25" customHeight="1">
      <c r="A4" s="53" t="s">
        <v>99</v>
      </c>
      <c r="B4" s="54" t="s">
        <v>100</v>
      </c>
      <c r="C4" s="54" t="s">
        <v>101</v>
      </c>
      <c r="D4" s="54" t="s">
        <v>18</v>
      </c>
      <c r="E4" s="55" t="s">
        <v>35</v>
      </c>
      <c r="F4" s="55" t="s">
        <v>102</v>
      </c>
    </row>
    <row r="5" spans="1:6">
      <c r="A5" s="3" t="s">
        <v>103</v>
      </c>
      <c r="B5" t="s">
        <v>104</v>
      </c>
      <c r="C5" t="s">
        <v>105</v>
      </c>
      <c r="D5">
        <v>17</v>
      </c>
      <c r="E5" s="51">
        <v>120000</v>
      </c>
      <c r="F5" s="50">
        <f>D5*E5</f>
        <v>2040000</v>
      </c>
    </row>
    <row r="6" spans="1:6">
      <c r="A6" s="3" t="s">
        <v>103</v>
      </c>
      <c r="B6" t="s">
        <v>106</v>
      </c>
      <c r="C6" t="s">
        <v>105</v>
      </c>
      <c r="D6">
        <v>16</v>
      </c>
      <c r="E6" s="51">
        <v>130000</v>
      </c>
      <c r="F6" s="50">
        <f>D6*E6</f>
        <v>2080000</v>
      </c>
    </row>
    <row r="7" spans="1:6">
      <c r="A7" s="3" t="s">
        <v>103</v>
      </c>
      <c r="B7" t="s">
        <v>107</v>
      </c>
      <c r="C7" t="s">
        <v>108</v>
      </c>
      <c r="D7">
        <v>12</v>
      </c>
      <c r="E7" s="51">
        <v>65000</v>
      </c>
      <c r="F7" s="50">
        <f>D7*E7</f>
        <v>780000</v>
      </c>
    </row>
    <row r="8" spans="1:6">
      <c r="A8" s="3" t="s">
        <v>109</v>
      </c>
      <c r="B8" t="s">
        <v>110</v>
      </c>
      <c r="C8" t="s">
        <v>108</v>
      </c>
      <c r="D8">
        <v>15</v>
      </c>
      <c r="E8" s="51">
        <v>71000</v>
      </c>
      <c r="F8" s="50">
        <f>D8*E8</f>
        <v>1065000</v>
      </c>
    </row>
    <row r="9" spans="1:6">
      <c r="A9" s="3" t="s">
        <v>109</v>
      </c>
      <c r="B9" t="s">
        <v>111</v>
      </c>
      <c r="C9" t="s">
        <v>108</v>
      </c>
      <c r="D9">
        <v>16</v>
      </c>
      <c r="E9" s="51">
        <v>60000</v>
      </c>
      <c r="F9" s="50">
        <f>D9*E9</f>
        <v>960000</v>
      </c>
    </row>
    <row r="10" spans="1:6">
      <c r="A10" s="3" t="s">
        <v>109</v>
      </c>
      <c r="B10" t="s">
        <v>112</v>
      </c>
      <c r="C10" t="s">
        <v>108</v>
      </c>
      <c r="D10">
        <v>5</v>
      </c>
      <c r="E10" s="51">
        <v>80000</v>
      </c>
      <c r="F10" s="50">
        <f>D10*E10</f>
        <v>400000</v>
      </c>
    </row>
    <row r="11" spans="1:6">
      <c r="A11" s="3" t="s">
        <v>113</v>
      </c>
      <c r="B11" s="3" t="s">
        <v>114</v>
      </c>
      <c r="C11" t="s">
        <v>105</v>
      </c>
      <c r="D11">
        <v>12</v>
      </c>
      <c r="E11" s="51">
        <v>75000</v>
      </c>
      <c r="F11" s="50">
        <f>D11*E11</f>
        <v>900000</v>
      </c>
    </row>
    <row r="12" spans="1:6">
      <c r="A12" s="3" t="s">
        <v>113</v>
      </c>
      <c r="B12" t="s">
        <v>115</v>
      </c>
      <c r="C12" t="s">
        <v>105</v>
      </c>
      <c r="D12">
        <v>4</v>
      </c>
      <c r="E12" s="51">
        <v>140000</v>
      </c>
      <c r="F12" s="50">
        <f>D12*E12</f>
        <v>560000</v>
      </c>
    </row>
    <row r="13" spans="1:6">
      <c r="A13" s="3" t="s">
        <v>116</v>
      </c>
      <c r="B13" s="3">
        <v>307</v>
      </c>
      <c r="C13" t="s">
        <v>105</v>
      </c>
      <c r="D13">
        <v>9</v>
      </c>
      <c r="E13" s="51">
        <v>95000</v>
      </c>
      <c r="F13" s="50">
        <f>D13*E13</f>
        <v>855000</v>
      </c>
    </row>
    <row r="14" spans="1:6">
      <c r="A14" s="3" t="s">
        <v>116</v>
      </c>
      <c r="B14" s="3">
        <v>406</v>
      </c>
      <c r="C14" t="s">
        <v>105</v>
      </c>
      <c r="D14">
        <v>12</v>
      </c>
      <c r="E14" s="51">
        <v>110000</v>
      </c>
      <c r="F14" s="50">
        <f>D14*E14</f>
        <v>1320000</v>
      </c>
    </row>
    <row r="15" spans="1:6">
      <c r="A15" s="3" t="s">
        <v>116</v>
      </c>
      <c r="B15" s="3">
        <v>206</v>
      </c>
      <c r="C15" t="s">
        <v>108</v>
      </c>
      <c r="D15">
        <v>20</v>
      </c>
      <c r="E15" s="51">
        <v>78000</v>
      </c>
      <c r="F15" s="50">
        <f>D15*E15</f>
        <v>1560000</v>
      </c>
    </row>
    <row r="16" spans="1:6">
      <c r="A16" s="3"/>
    </row>
    <row r="17" spans="1:5">
      <c r="A17" s="3"/>
      <c r="C17" s="4"/>
    </row>
    <row r="18" spans="1:5">
      <c r="A18" s="3"/>
      <c r="C18" s="4"/>
    </row>
    <row r="19" spans="1:5" ht="12.75">
      <c r="A19" s="58"/>
      <c r="B19" s="59"/>
      <c r="C19" s="64" t="s">
        <v>117</v>
      </c>
      <c r="D19" s="65" t="s">
        <v>118</v>
      </c>
    </row>
    <row r="20" spans="1:5" ht="12.75">
      <c r="A20" s="66" t="s">
        <v>119</v>
      </c>
      <c r="B20" s="67"/>
      <c r="C20" s="60">
        <f>SUMIF(C5:C15,"Importado",D5:D15)</f>
        <v>70</v>
      </c>
      <c r="D20" s="61">
        <f>COUNTIF(C5:C15,"Importado")</f>
        <v>6</v>
      </c>
    </row>
    <row r="21" spans="1:5" ht="12.75">
      <c r="A21" s="68" t="s">
        <v>120</v>
      </c>
      <c r="B21" s="69"/>
      <c r="C21" s="62">
        <f>SUMIF(C5:C15,"Nacional",D5:D15)</f>
        <v>68</v>
      </c>
      <c r="D21" s="63">
        <f>COUNTIF(C5:C15,"Nacional")</f>
        <v>5</v>
      </c>
    </row>
    <row r="22" spans="1:5" ht="12.75"/>
    <row r="23" spans="1:5" ht="13.15" customHeight="1">
      <c r="A23" s="73" t="s">
        <v>121</v>
      </c>
      <c r="B23" s="74"/>
      <c r="C23" s="74"/>
      <c r="D23" s="70" t="s">
        <v>116</v>
      </c>
      <c r="E23" s="71">
        <f>AVERAGEIF(A5:A15,D23,F5:F15)</f>
        <v>1245000</v>
      </c>
    </row>
    <row r="24" spans="1:5" ht="12.75">
      <c r="A24" s="75" t="s">
        <v>122</v>
      </c>
      <c r="B24" s="76"/>
      <c r="C24" s="76"/>
      <c r="D24" s="57" t="s">
        <v>108</v>
      </c>
      <c r="E24" s="72">
        <f>SUMIF(C5:C15,D24,F5:F15)</f>
        <v>4765000</v>
      </c>
    </row>
    <row r="25" spans="1:5" ht="12.75"/>
    <row r="100" spans="1:1">
      <c r="A100" s="19">
        <v>41730</v>
      </c>
    </row>
    <row r="1002" spans="1:1">
      <c r="A1002" t="s">
        <v>123</v>
      </c>
    </row>
  </sheetData>
  <sortState xmlns:xlrd2="http://schemas.microsoft.com/office/spreadsheetml/2017/richdata2" ref="A5:F15">
    <sortCondition ref="A5:A15"/>
    <sortCondition ref="C5:C15"/>
  </sortState>
  <mergeCells count="3">
    <mergeCell ref="A2:F2"/>
    <mergeCell ref="A23:C23"/>
    <mergeCell ref="A24:C24"/>
  </mergeCells>
  <phoneticPr fontId="4" type="noConversion"/>
  <dataValidations count="2">
    <dataValidation type="list" allowBlank="1" showInputMessage="1" showErrorMessage="1" sqref="D23" xr:uid="{88A583EB-4E21-43A6-AC1D-292AC7791AD1}">
      <formula1>$A$5:$A$15</formula1>
    </dataValidation>
    <dataValidation type="list" allowBlank="1" showInputMessage="1" showErrorMessage="1" sqref="D24" xr:uid="{D53BD470-D481-442E-9A1E-FEECB024AA17}">
      <formula1>$C$5:$C$15</formula1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</sheetPr>
  <dimension ref="A1:L100"/>
  <sheetViews>
    <sheetView topLeftCell="A30" workbookViewId="0">
      <selection activeCell="A26" sqref="A26:C26"/>
    </sheetView>
  </sheetViews>
  <sheetFormatPr defaultColWidth="11.42578125" defaultRowHeight="13.15"/>
  <cols>
    <col min="2" max="2" width="20" customWidth="1"/>
    <col min="3" max="3" width="14.85546875" customWidth="1"/>
    <col min="4" max="4" width="17.7109375" customWidth="1"/>
    <col min="5" max="5" width="18.7109375" customWidth="1"/>
    <col min="6" max="6" width="23.85546875" customWidth="1"/>
    <col min="7" max="7" width="15.85546875" customWidth="1"/>
  </cols>
  <sheetData>
    <row r="1" spans="1:12" ht="13.15" customHeight="1">
      <c r="A1" s="80" t="s">
        <v>124</v>
      </c>
      <c r="B1" s="80"/>
    </row>
    <row r="2" spans="1:12" ht="37.5" customHeight="1">
      <c r="A2" s="81" t="s">
        <v>125</v>
      </c>
      <c r="B2" s="81"/>
      <c r="C2" s="81"/>
      <c r="D2" s="81"/>
      <c r="E2" s="81"/>
      <c r="F2" s="81"/>
      <c r="G2" s="81"/>
    </row>
    <row r="3" spans="1:12" ht="12.75"/>
    <row r="4" spans="1:12" ht="12.75"/>
    <row r="5" spans="1:12" ht="13.15" customHeight="1">
      <c r="A5" s="82" t="s">
        <v>126</v>
      </c>
      <c r="B5" s="83"/>
      <c r="C5" s="83"/>
      <c r="D5" s="83"/>
      <c r="E5" s="83"/>
      <c r="F5" s="83"/>
      <c r="G5" s="84"/>
      <c r="L5" s="5"/>
    </row>
    <row r="6" spans="1:12" ht="12.75">
      <c r="A6" s="8" t="s">
        <v>127</v>
      </c>
      <c r="B6" s="8" t="s">
        <v>128</v>
      </c>
      <c r="C6" s="8" t="s">
        <v>129</v>
      </c>
      <c r="D6" s="8" t="s">
        <v>130</v>
      </c>
      <c r="E6" s="8" t="s">
        <v>131</v>
      </c>
      <c r="F6" s="8" t="s">
        <v>132</v>
      </c>
      <c r="G6" s="8" t="s">
        <v>133</v>
      </c>
      <c r="L6" s="5"/>
    </row>
    <row r="7" spans="1:12" ht="24">
      <c r="A7" s="8">
        <v>1</v>
      </c>
      <c r="B7" s="15" t="str">
        <f>VLOOKUP(A7,$A$26:$C$36,2,0)</f>
        <v>ACER</v>
      </c>
      <c r="C7" s="8" t="s">
        <v>134</v>
      </c>
      <c r="D7" s="15">
        <f>VLOOKUP(A7,$A$26:$C$36,3,0)</f>
        <v>7120</v>
      </c>
      <c r="E7" s="77">
        <f>D7/HLOOKUP(C7,$E$26:I$28,2,0)</f>
        <v>2373.3333333333335</v>
      </c>
      <c r="F7" s="77">
        <f>E7*(HLOOKUP(C7,$E$26:$I$28,3,0))</f>
        <v>59.333333333333343</v>
      </c>
      <c r="G7" s="78">
        <f>E7+F7</f>
        <v>2432.666666666667</v>
      </c>
      <c r="L7" s="5"/>
    </row>
    <row r="8" spans="1:12" ht="12.75">
      <c r="A8" s="8">
        <v>2</v>
      </c>
      <c r="B8" s="15" t="str">
        <f t="shared" ref="B8:B16" si="0">VLOOKUP(A8,$A$26:$C$36,2,0)</f>
        <v>IBM</v>
      </c>
      <c r="C8" s="8" t="s">
        <v>135</v>
      </c>
      <c r="D8" s="15">
        <f t="shared" ref="D8:D16" si="1">VLOOKUP(A8,$A$26:$C$36,3,0)</f>
        <v>4890</v>
      </c>
      <c r="E8" s="77">
        <f>D8/HLOOKUP(C8,$E$26:I$28,2,0)</f>
        <v>407.5</v>
      </c>
      <c r="F8" s="77">
        <f t="shared" ref="F8:F16" si="2">E8*(HLOOKUP(C8,$E$26:$I$28,3,0))</f>
        <v>18.337499999999999</v>
      </c>
      <c r="G8" s="78">
        <f t="shared" ref="G8:G16" si="3">E8+F8</f>
        <v>425.83749999999998</v>
      </c>
    </row>
    <row r="9" spans="1:12" ht="12.75">
      <c r="A9" s="8">
        <v>3</v>
      </c>
      <c r="B9" s="15" t="str">
        <f t="shared" si="0"/>
        <v>EPSON</v>
      </c>
      <c r="C9" s="8" t="s">
        <v>136</v>
      </c>
      <c r="D9" s="15">
        <f t="shared" si="1"/>
        <v>3525</v>
      </c>
      <c r="E9" s="77">
        <f>D9/HLOOKUP(C9,$E$26:I$28,2,0)</f>
        <v>587.5</v>
      </c>
      <c r="F9" s="77">
        <f t="shared" si="2"/>
        <v>22.03125</v>
      </c>
      <c r="G9" s="78">
        <f t="shared" si="3"/>
        <v>609.53125</v>
      </c>
    </row>
    <row r="10" spans="1:12" ht="12.75">
      <c r="A10" s="8">
        <v>9</v>
      </c>
      <c r="B10" s="15" t="str">
        <f t="shared" si="0"/>
        <v>APPLE</v>
      </c>
      <c r="C10" s="7" t="s">
        <v>134</v>
      </c>
      <c r="D10" s="15">
        <f t="shared" si="1"/>
        <v>8945</v>
      </c>
      <c r="E10" s="77">
        <f>D10/HLOOKUP(C10,$E$26:I$28,2,0)</f>
        <v>2981.6666666666665</v>
      </c>
      <c r="F10" s="77">
        <f t="shared" si="2"/>
        <v>74.541666666666671</v>
      </c>
      <c r="G10" s="78">
        <f t="shared" si="3"/>
        <v>3056.208333333333</v>
      </c>
      <c r="H10" s="1"/>
      <c r="I10" s="1"/>
    </row>
    <row r="11" spans="1:12" ht="12.75">
      <c r="A11" s="8">
        <v>5</v>
      </c>
      <c r="B11" s="15" t="str">
        <f t="shared" si="0"/>
        <v>TEXAS</v>
      </c>
      <c r="C11" s="7" t="s">
        <v>137</v>
      </c>
      <c r="D11" s="15">
        <f t="shared" si="1"/>
        <v>4800</v>
      </c>
      <c r="E11" s="77">
        <f>D11/HLOOKUP(C11,$E$26:I$28,2,0)</f>
        <v>4800</v>
      </c>
      <c r="F11" s="77">
        <f t="shared" si="2"/>
        <v>0</v>
      </c>
      <c r="G11" s="78">
        <f t="shared" si="3"/>
        <v>4800</v>
      </c>
      <c r="H11" s="1"/>
      <c r="I11" s="1"/>
    </row>
    <row r="12" spans="1:12" ht="12.75">
      <c r="A12" s="8">
        <v>2</v>
      </c>
      <c r="B12" s="15" t="str">
        <f t="shared" si="0"/>
        <v>IBM</v>
      </c>
      <c r="C12" s="7" t="s">
        <v>136</v>
      </c>
      <c r="D12" s="15">
        <f t="shared" si="1"/>
        <v>4890</v>
      </c>
      <c r="E12" s="77">
        <f>D12/HLOOKUP(C12,$E$26:I$28,2,0)</f>
        <v>815</v>
      </c>
      <c r="F12" s="77">
        <f t="shared" si="2"/>
        <v>30.5625</v>
      </c>
      <c r="G12" s="78">
        <f t="shared" si="3"/>
        <v>845.5625</v>
      </c>
      <c r="H12" s="1"/>
      <c r="I12" s="1"/>
    </row>
    <row r="13" spans="1:12" ht="12.75">
      <c r="A13" s="8">
        <v>7</v>
      </c>
      <c r="B13" s="15" t="str">
        <f t="shared" si="0"/>
        <v>TOSHIBA</v>
      </c>
      <c r="C13" s="7" t="s">
        <v>137</v>
      </c>
      <c r="D13" s="15">
        <f t="shared" si="1"/>
        <v>6530</v>
      </c>
      <c r="E13" s="77">
        <f>D13/HLOOKUP(C13,$E$26:I$28,2,0)</f>
        <v>6530</v>
      </c>
      <c r="F13" s="77">
        <f t="shared" si="2"/>
        <v>0</v>
      </c>
      <c r="G13" s="78">
        <f t="shared" si="3"/>
        <v>6530</v>
      </c>
      <c r="H13" s="1"/>
      <c r="I13" s="1"/>
    </row>
    <row r="14" spans="1:12" ht="12.75">
      <c r="A14" s="8">
        <v>8</v>
      </c>
      <c r="B14" s="15" t="str">
        <f t="shared" si="0"/>
        <v>COMPAQ</v>
      </c>
      <c r="C14" s="7" t="s">
        <v>134</v>
      </c>
      <c r="D14" s="15">
        <f t="shared" si="1"/>
        <v>5645</v>
      </c>
      <c r="E14" s="77">
        <f>D14/HLOOKUP(C14,$E$26:I$28,2,0)</f>
        <v>1881.6666666666667</v>
      </c>
      <c r="F14" s="77">
        <f t="shared" si="2"/>
        <v>47.041666666666671</v>
      </c>
      <c r="G14" s="78">
        <f t="shared" si="3"/>
        <v>1928.7083333333335</v>
      </c>
      <c r="H14" s="1"/>
      <c r="I14" s="1"/>
    </row>
    <row r="15" spans="1:12" ht="12.75">
      <c r="A15" s="8">
        <v>9</v>
      </c>
      <c r="B15" s="15" t="str">
        <f t="shared" si="0"/>
        <v>APPLE</v>
      </c>
      <c r="C15" s="7" t="s">
        <v>136</v>
      </c>
      <c r="D15" s="15">
        <f t="shared" si="1"/>
        <v>8945</v>
      </c>
      <c r="E15" s="77">
        <f>D15/HLOOKUP(C15,$E$26:I$28,2,0)</f>
        <v>1490.8333333333333</v>
      </c>
      <c r="F15" s="77">
        <f t="shared" si="2"/>
        <v>55.906249999999993</v>
      </c>
      <c r="G15" s="78">
        <f t="shared" si="3"/>
        <v>1546.7395833333333</v>
      </c>
      <c r="H15" s="1"/>
      <c r="I15" s="1"/>
    </row>
    <row r="16" spans="1:12" ht="12.75">
      <c r="A16" s="8">
        <v>10</v>
      </c>
      <c r="B16" s="15" t="str">
        <f t="shared" si="0"/>
        <v>LG</v>
      </c>
      <c r="C16" s="7" t="s">
        <v>135</v>
      </c>
      <c r="D16" s="15">
        <f t="shared" si="1"/>
        <v>3700</v>
      </c>
      <c r="E16" s="77">
        <f>D16/HLOOKUP(C16,$E$26:I$28,2,0)</f>
        <v>308.33333333333331</v>
      </c>
      <c r="F16" s="77">
        <f t="shared" si="2"/>
        <v>13.874999999999998</v>
      </c>
      <c r="G16" s="78">
        <f t="shared" si="3"/>
        <v>322.20833333333331</v>
      </c>
      <c r="H16" s="1"/>
      <c r="I16" s="1"/>
    </row>
    <row r="17" spans="1:9">
      <c r="C17" s="4"/>
      <c r="D17" s="1"/>
      <c r="G17" s="1"/>
      <c r="H17" s="1"/>
      <c r="I17" s="1"/>
    </row>
    <row r="18" spans="1:9">
      <c r="C18" s="4"/>
      <c r="D18" s="1"/>
      <c r="G18" s="1"/>
      <c r="H18" s="1"/>
      <c r="I18" s="1"/>
    </row>
    <row r="19" spans="1:9" ht="12.75">
      <c r="A19" s="85"/>
      <c r="B19" s="86" t="s">
        <v>18</v>
      </c>
      <c r="C19" s="87" t="s">
        <v>102</v>
      </c>
      <c r="D19" s="1"/>
      <c r="G19" s="1"/>
      <c r="H19" s="1"/>
      <c r="I19" s="1"/>
    </row>
    <row r="20" spans="1:9">
      <c r="A20" s="42" t="s">
        <v>137</v>
      </c>
      <c r="B20" s="56">
        <f>COUNTIF($C$7:$C$16,A20)</f>
        <v>2</v>
      </c>
      <c r="C20" s="88">
        <f>ROUND(SUMIF($C$7:$C$16,A20,$G$7:$G$16),0)</f>
        <v>11330</v>
      </c>
      <c r="D20" s="1"/>
      <c r="G20" s="1"/>
      <c r="H20" s="1"/>
      <c r="I20" s="1"/>
    </row>
    <row r="21" spans="1:9">
      <c r="A21" s="42" t="s">
        <v>134</v>
      </c>
      <c r="B21" s="56">
        <f t="shared" ref="B21:B23" si="4">COUNTIF($C$7:$C$16,A21)</f>
        <v>3</v>
      </c>
      <c r="C21" s="88">
        <f t="shared" ref="C21" si="5">ROUND(SUMIF($C$7:$C$16,A21,$G$7:$G$16),0)</f>
        <v>7418</v>
      </c>
      <c r="D21" s="1"/>
      <c r="G21" s="1"/>
      <c r="H21" s="1"/>
      <c r="I21" s="1"/>
    </row>
    <row r="22" spans="1:9" ht="12.75">
      <c r="A22" s="42" t="s">
        <v>136</v>
      </c>
      <c r="B22" s="56">
        <f t="shared" si="4"/>
        <v>3</v>
      </c>
      <c r="C22" s="88">
        <f>ROUND(SUMIF($C$7:$C$16,A22,$G$7:$G$16),0)</f>
        <v>3002</v>
      </c>
      <c r="D22" s="1"/>
      <c r="G22" s="1"/>
      <c r="H22" s="1"/>
      <c r="I22" s="1"/>
    </row>
    <row r="23" spans="1:9" ht="12.75">
      <c r="A23" s="42" t="s">
        <v>135</v>
      </c>
      <c r="B23" s="56">
        <f t="shared" si="4"/>
        <v>2</v>
      </c>
      <c r="C23" s="88">
        <f>ROUND(SUMIF($C$7:$C$16,A23,$G$7:$G$16),0)</f>
        <v>748</v>
      </c>
      <c r="D23" s="1"/>
      <c r="G23" s="1"/>
      <c r="H23" s="1"/>
      <c r="I23" s="1"/>
    </row>
    <row r="26" spans="1:9">
      <c r="A26" s="90" t="s">
        <v>127</v>
      </c>
      <c r="B26" s="90" t="s">
        <v>128</v>
      </c>
      <c r="C26" s="90" t="s">
        <v>130</v>
      </c>
      <c r="E26" s="89" t="s">
        <v>129</v>
      </c>
      <c r="F26" s="8" t="s">
        <v>137</v>
      </c>
      <c r="G26" s="8" t="s">
        <v>134</v>
      </c>
      <c r="H26" s="8" t="s">
        <v>136</v>
      </c>
      <c r="I26" s="8" t="s">
        <v>135</v>
      </c>
    </row>
    <row r="27" spans="1:9">
      <c r="A27" s="8">
        <v>1</v>
      </c>
      <c r="B27" s="8" t="s">
        <v>138</v>
      </c>
      <c r="C27" s="10">
        <v>7120</v>
      </c>
      <c r="E27" s="89" t="s">
        <v>139</v>
      </c>
      <c r="F27" s="8">
        <v>1</v>
      </c>
      <c r="G27" s="8">
        <v>3</v>
      </c>
      <c r="H27" s="8">
        <v>6</v>
      </c>
      <c r="I27" s="8">
        <v>12</v>
      </c>
    </row>
    <row r="28" spans="1:9">
      <c r="A28" s="8">
        <v>8</v>
      </c>
      <c r="B28" s="8" t="s">
        <v>140</v>
      </c>
      <c r="C28" s="10">
        <v>5645</v>
      </c>
      <c r="E28" s="89" t="s">
        <v>141</v>
      </c>
      <c r="F28" s="9">
        <v>0</v>
      </c>
      <c r="G28" s="9">
        <v>2.5000000000000001E-2</v>
      </c>
      <c r="H28" s="9">
        <v>3.7499999999999999E-2</v>
      </c>
      <c r="I28" s="9">
        <v>4.4999999999999998E-2</v>
      </c>
    </row>
    <row r="29" spans="1:9">
      <c r="A29" s="8">
        <v>3</v>
      </c>
      <c r="B29" s="8" t="s">
        <v>142</v>
      </c>
      <c r="C29" s="10">
        <v>3525</v>
      </c>
    </row>
    <row r="30" spans="1:9" ht="84">
      <c r="A30" s="8">
        <v>4</v>
      </c>
      <c r="B30" s="8" t="s">
        <v>143</v>
      </c>
      <c r="C30" s="10">
        <v>2600</v>
      </c>
      <c r="E30" s="79" t="s">
        <v>144</v>
      </c>
    </row>
    <row r="31" spans="1:9">
      <c r="A31" s="8">
        <v>2</v>
      </c>
      <c r="B31" s="8" t="s">
        <v>145</v>
      </c>
      <c r="C31" s="10">
        <v>4890</v>
      </c>
    </row>
    <row r="32" spans="1:9" ht="84">
      <c r="A32" s="8">
        <v>9</v>
      </c>
      <c r="B32" s="8" t="s">
        <v>146</v>
      </c>
      <c r="C32" s="10">
        <v>8945</v>
      </c>
      <c r="E32" s="79" t="s">
        <v>147</v>
      </c>
    </row>
    <row r="33" spans="1:3">
      <c r="A33" s="8">
        <v>6</v>
      </c>
      <c r="B33" s="8" t="s">
        <v>148</v>
      </c>
      <c r="C33" s="10">
        <v>5500</v>
      </c>
    </row>
    <row r="34" spans="1:3">
      <c r="A34" s="8">
        <v>5</v>
      </c>
      <c r="B34" s="8" t="s">
        <v>149</v>
      </c>
      <c r="C34" s="10">
        <v>4800</v>
      </c>
    </row>
    <row r="35" spans="1:3">
      <c r="A35" s="8">
        <v>10</v>
      </c>
      <c r="B35" s="8" t="s">
        <v>150</v>
      </c>
      <c r="C35" s="10">
        <v>3700</v>
      </c>
    </row>
    <row r="36" spans="1:3">
      <c r="A36" s="8">
        <v>7</v>
      </c>
      <c r="B36" s="8" t="s">
        <v>151</v>
      </c>
      <c r="C36" s="10">
        <v>6530</v>
      </c>
    </row>
    <row r="100" spans="1:1">
      <c r="A100" s="19">
        <v>41730</v>
      </c>
    </row>
  </sheetData>
  <sortState xmlns:xlrd2="http://schemas.microsoft.com/office/spreadsheetml/2017/richdata2" ref="A25:C34">
    <sortCondition ref="B12:B21"/>
    <sortCondition ref="C12:C21"/>
  </sortState>
  <mergeCells count="3">
    <mergeCell ref="A1:B1"/>
    <mergeCell ref="A2:G2"/>
    <mergeCell ref="A5:G5"/>
  </mergeCells>
  <phoneticPr fontId="4" type="noConversion"/>
  <dataValidations count="3">
    <dataValidation type="whole" allowBlank="1" showInputMessage="1" showErrorMessage="1" error="Codigo incorrecto, solo del 1 al 10" prompt="Solo codigos del 1 al 10" sqref="A7:A16" xr:uid="{76ACE624-DDE7-44B5-A744-1F389226B4DC}">
      <formula1>1</formula1>
      <formula2>10</formula2>
    </dataValidation>
    <dataValidation type="textLength" allowBlank="1" showInputMessage="1" showErrorMessage="1" error="Se ingresaron mas caracteres de los permitidos" prompt="Solo productos con longitud entre 1 y 15" sqref="B7:B16" xr:uid="{BD8DFC9F-36D3-4C37-A89D-F69BB760E046}">
      <formula1>1</formula1>
      <formula2>15</formula2>
    </dataValidation>
    <dataValidation type="list" allowBlank="1" showInputMessage="1" showErrorMessage="1" error="No se pueden ingresar planes por fuera de la lista" prompt="Solo los planes de la lista" sqref="C7:C16" xr:uid="{1AD35728-7E4B-4720-ABA1-82C5FBE400E2}">
      <formula1>$F$26:$I$26</formula1>
    </dataValidation>
  </dataValidations>
  <pageMargins left="0.75" right="0.75" top="1" bottom="1" header="0" footer="0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1"/>
  </sheetPr>
  <dimension ref="A2:J100"/>
  <sheetViews>
    <sheetView workbookViewId="0">
      <selection activeCell="H16" sqref="H16"/>
    </sheetView>
  </sheetViews>
  <sheetFormatPr defaultColWidth="11.42578125" defaultRowHeight="13.15"/>
  <cols>
    <col min="1" max="1" width="17.5703125" customWidth="1"/>
    <col min="2" max="2" width="10" customWidth="1"/>
    <col min="3" max="3" width="14.140625" customWidth="1"/>
    <col min="4" max="4" width="20.140625" customWidth="1"/>
    <col min="5" max="5" width="20.7109375" customWidth="1"/>
    <col min="6" max="6" width="9.7109375" customWidth="1"/>
    <col min="7" max="7" width="16.85546875" customWidth="1"/>
    <col min="8" max="8" width="17.28515625" customWidth="1"/>
    <col min="9" max="9" width="24.28515625" customWidth="1"/>
    <col min="10" max="10" width="24.140625" customWidth="1"/>
  </cols>
  <sheetData>
    <row r="2" spans="1:10" ht="24" customHeight="1">
      <c r="A2" s="8" t="s">
        <v>152</v>
      </c>
      <c r="B2" s="8" t="s">
        <v>153</v>
      </c>
      <c r="C2" s="8" t="s">
        <v>154</v>
      </c>
      <c r="D2" s="8" t="s">
        <v>155</v>
      </c>
      <c r="E2" s="8" t="s">
        <v>156</v>
      </c>
      <c r="F2" s="17" t="s">
        <v>157</v>
      </c>
      <c r="G2" s="8" t="s">
        <v>158</v>
      </c>
      <c r="H2" s="8" t="s">
        <v>159</v>
      </c>
      <c r="I2" s="8" t="s">
        <v>160</v>
      </c>
      <c r="J2" s="8" t="s">
        <v>161</v>
      </c>
    </row>
    <row r="3" spans="1:10" ht="15" customHeight="1">
      <c r="A3" s="91" t="s">
        <v>162</v>
      </c>
      <c r="B3" s="92" t="s">
        <v>163</v>
      </c>
      <c r="C3" s="93">
        <f>HLOOKUP(B3,$A$24:$H$26,2,0)</f>
        <v>2766</v>
      </c>
      <c r="D3" s="93">
        <f>HLOOKUP(B3,$A$24:$H$26,3,0)</f>
        <v>170</v>
      </c>
      <c r="E3" s="94">
        <f>C3*$A$21</f>
        <v>235.11</v>
      </c>
      <c r="F3" s="92">
        <v>8</v>
      </c>
      <c r="G3" s="95" t="str">
        <f>IF(F3&gt;$B$16,(F3-$B$16)*$C$17,"-")</f>
        <v>-</v>
      </c>
      <c r="H3" s="96" t="s">
        <v>164</v>
      </c>
      <c r="I3" s="93" cm="1">
        <f t="array" ref="I3">_xlfn.IFS(H3=$E$16,C3*$F$16,H3=$E$17,"-")</f>
        <v>1106.4000000000001</v>
      </c>
      <c r="J3" s="93">
        <f>SUM(C3:I3)</f>
        <v>4285.51</v>
      </c>
    </row>
    <row r="4" spans="1:10" ht="12.75">
      <c r="A4" s="91" t="s">
        <v>165</v>
      </c>
      <c r="B4" s="92" t="s">
        <v>166</v>
      </c>
      <c r="C4" s="93">
        <f t="shared" ref="C4:C12" si="0">HLOOKUP(B4,$A$24:$H$26,2,0)</f>
        <v>2096</v>
      </c>
      <c r="D4" s="93">
        <f t="shared" ref="D4:D12" si="1">HLOOKUP(B4,$A$24:$H$26,3,0)</f>
        <v>140</v>
      </c>
      <c r="E4" s="94">
        <f t="shared" ref="E4:E12" si="2">C4*$A$21</f>
        <v>178.16000000000003</v>
      </c>
      <c r="F4" s="92">
        <v>4</v>
      </c>
      <c r="G4" s="95" t="str">
        <f t="shared" ref="G4:G12" si="3">IF(F4&gt;$B$16,(F4-$B$16)*$C$17,"-")</f>
        <v>-</v>
      </c>
      <c r="H4" s="96" t="s">
        <v>164</v>
      </c>
      <c r="I4" s="93" cm="1">
        <f t="array" ref="I4">_xlfn.IFS(H4=$E$16,C4*$F$16,H4=$E$17,"-")</f>
        <v>838.40000000000009</v>
      </c>
      <c r="J4" s="93">
        <f t="shared" ref="J4:J12" si="4">SUM(C4:I4)</f>
        <v>3256.56</v>
      </c>
    </row>
    <row r="5" spans="1:10" ht="12.75">
      <c r="A5" s="91" t="s">
        <v>167</v>
      </c>
      <c r="B5" s="92" t="s">
        <v>168</v>
      </c>
      <c r="C5" s="93">
        <f t="shared" si="0"/>
        <v>2496</v>
      </c>
      <c r="D5" s="93">
        <f t="shared" si="1"/>
        <v>120</v>
      </c>
      <c r="E5" s="94">
        <f t="shared" si="2"/>
        <v>212.16000000000003</v>
      </c>
      <c r="F5" s="92">
        <v>12</v>
      </c>
      <c r="G5" s="95">
        <f t="shared" si="3"/>
        <v>96</v>
      </c>
      <c r="H5" s="96" t="s">
        <v>164</v>
      </c>
      <c r="I5" s="93" cm="1">
        <f t="array" ref="I5">_xlfn.IFS(H5=$E$16,C5*$F$16,H5=$E$17,"-")</f>
        <v>998.40000000000009</v>
      </c>
      <c r="J5" s="93">
        <f t="shared" si="4"/>
        <v>3934.56</v>
      </c>
    </row>
    <row r="6" spans="1:10" ht="12.75">
      <c r="A6" s="91" t="s">
        <v>169</v>
      </c>
      <c r="B6" s="92" t="s">
        <v>170</v>
      </c>
      <c r="C6" s="93">
        <f t="shared" si="0"/>
        <v>2809</v>
      </c>
      <c r="D6" s="93">
        <f t="shared" si="1"/>
        <v>150</v>
      </c>
      <c r="E6" s="94">
        <f t="shared" si="2"/>
        <v>238.76500000000001</v>
      </c>
      <c r="F6" s="92">
        <v>20</v>
      </c>
      <c r="G6" s="95">
        <f t="shared" si="3"/>
        <v>288</v>
      </c>
      <c r="H6" s="96" t="s">
        <v>164</v>
      </c>
      <c r="I6" s="93" cm="1">
        <f t="array" ref="I6">_xlfn.IFS(H6=$E$16,C6*$F$16,H6=$E$17,"-")</f>
        <v>1123.6000000000001</v>
      </c>
      <c r="J6" s="93">
        <f t="shared" si="4"/>
        <v>4629.3649999999998</v>
      </c>
    </row>
    <row r="7" spans="1:10" ht="12.75">
      <c r="A7" s="91" t="s">
        <v>171</v>
      </c>
      <c r="B7" s="92" t="s">
        <v>166</v>
      </c>
      <c r="C7" s="93">
        <f t="shared" si="0"/>
        <v>2096</v>
      </c>
      <c r="D7" s="93">
        <f t="shared" si="1"/>
        <v>140</v>
      </c>
      <c r="E7" s="94">
        <f t="shared" si="2"/>
        <v>178.16000000000003</v>
      </c>
      <c r="F7" s="92">
        <v>10</v>
      </c>
      <c r="G7" s="95">
        <f t="shared" si="3"/>
        <v>48</v>
      </c>
      <c r="H7" s="96" t="s">
        <v>172</v>
      </c>
      <c r="I7" s="93" t="str" cm="1">
        <f t="array" ref="I7">_xlfn.IFS(H7=$E$16,C7*$F$16,H7=$E$17,"-")</f>
        <v>-</v>
      </c>
      <c r="J7" s="93">
        <f t="shared" si="4"/>
        <v>2472.16</v>
      </c>
    </row>
    <row r="8" spans="1:10" ht="12.75">
      <c r="A8" s="91" t="s">
        <v>173</v>
      </c>
      <c r="B8" s="92" t="s">
        <v>170</v>
      </c>
      <c r="C8" s="93">
        <f t="shared" si="0"/>
        <v>2809</v>
      </c>
      <c r="D8" s="93">
        <f t="shared" si="1"/>
        <v>150</v>
      </c>
      <c r="E8" s="94">
        <f t="shared" si="2"/>
        <v>238.76500000000001</v>
      </c>
      <c r="F8" s="92">
        <v>6</v>
      </c>
      <c r="G8" s="95" t="str">
        <f t="shared" si="3"/>
        <v>-</v>
      </c>
      <c r="H8" s="96" t="s">
        <v>164</v>
      </c>
      <c r="I8" s="93" cm="1">
        <f t="array" ref="I8">_xlfn.IFS(H8=$E$16,C8*$F$16,H8=$E$17,"-")</f>
        <v>1123.6000000000001</v>
      </c>
      <c r="J8" s="93">
        <f t="shared" si="4"/>
        <v>4327.3649999999998</v>
      </c>
    </row>
    <row r="9" spans="1:10" ht="12.75">
      <c r="A9" s="91" t="s">
        <v>174</v>
      </c>
      <c r="B9" s="92" t="s">
        <v>175</v>
      </c>
      <c r="C9" s="93">
        <f t="shared" si="0"/>
        <v>2664</v>
      </c>
      <c r="D9" s="93">
        <f t="shared" si="1"/>
        <v>130</v>
      </c>
      <c r="E9" s="94">
        <f t="shared" si="2"/>
        <v>226.44000000000003</v>
      </c>
      <c r="F9" s="92">
        <v>9</v>
      </c>
      <c r="G9" s="95">
        <f t="shared" si="3"/>
        <v>24</v>
      </c>
      <c r="H9" s="96" t="s">
        <v>172</v>
      </c>
      <c r="I9" s="93" t="str" cm="1">
        <f t="array" ref="I9">_xlfn.IFS(H9=$E$16,C9*$F$16,H9=$E$17,"-")</f>
        <v>-</v>
      </c>
      <c r="J9" s="93">
        <f t="shared" si="4"/>
        <v>3053.44</v>
      </c>
    </row>
    <row r="10" spans="1:10" ht="12.75">
      <c r="A10" s="91" t="s">
        <v>176</v>
      </c>
      <c r="B10" s="92" t="s">
        <v>177</v>
      </c>
      <c r="C10" s="93">
        <f t="shared" si="0"/>
        <v>1675</v>
      </c>
      <c r="D10" s="93">
        <f t="shared" si="1"/>
        <v>130</v>
      </c>
      <c r="E10" s="94">
        <f t="shared" si="2"/>
        <v>142.375</v>
      </c>
      <c r="F10" s="92">
        <v>27</v>
      </c>
      <c r="G10" s="95">
        <f t="shared" si="3"/>
        <v>456</v>
      </c>
      <c r="H10" s="96" t="s">
        <v>172</v>
      </c>
      <c r="I10" s="93" t="str" cm="1">
        <f t="array" ref="I10">_xlfn.IFS(H10=$E$16,C10*$F$16,H10=$E$17,"-")</f>
        <v>-</v>
      </c>
      <c r="J10" s="93">
        <f t="shared" si="4"/>
        <v>2430.375</v>
      </c>
    </row>
    <row r="11" spans="1:10" ht="12.75">
      <c r="A11" s="91" t="s">
        <v>178</v>
      </c>
      <c r="B11" s="92" t="s">
        <v>166</v>
      </c>
      <c r="C11" s="93">
        <f t="shared" si="0"/>
        <v>2096</v>
      </c>
      <c r="D11" s="93">
        <f t="shared" si="1"/>
        <v>140</v>
      </c>
      <c r="E11" s="94">
        <f t="shared" si="2"/>
        <v>178.16000000000003</v>
      </c>
      <c r="F11" s="92">
        <v>30</v>
      </c>
      <c r="G11" s="95">
        <f t="shared" si="3"/>
        <v>528</v>
      </c>
      <c r="H11" s="96" t="s">
        <v>172</v>
      </c>
      <c r="I11" s="93" t="str" cm="1">
        <f t="array" ref="I11">_xlfn.IFS(H11=$E$16,C11*$F$16,H11=$E$17,"-")</f>
        <v>-</v>
      </c>
      <c r="J11" s="93">
        <f t="shared" si="4"/>
        <v>2972.16</v>
      </c>
    </row>
    <row r="12" spans="1:10" ht="12.75">
      <c r="A12" s="91" t="s">
        <v>179</v>
      </c>
      <c r="B12" s="92" t="s">
        <v>170</v>
      </c>
      <c r="C12" s="93">
        <f t="shared" si="0"/>
        <v>2809</v>
      </c>
      <c r="D12" s="93">
        <f t="shared" si="1"/>
        <v>150</v>
      </c>
      <c r="E12" s="94">
        <f t="shared" si="2"/>
        <v>238.76500000000001</v>
      </c>
      <c r="F12" s="92">
        <v>12</v>
      </c>
      <c r="G12" s="95">
        <f t="shared" si="3"/>
        <v>96</v>
      </c>
      <c r="H12" s="96" t="s">
        <v>172</v>
      </c>
      <c r="I12" s="93" t="str" cm="1">
        <f t="array" ref="I12">_xlfn.IFS(H12=$E$16,C12*$F$16,H12=$E$17,"-")</f>
        <v>-</v>
      </c>
      <c r="J12" s="93">
        <f t="shared" si="4"/>
        <v>3305.7649999999999</v>
      </c>
    </row>
    <row r="14" spans="1:10" ht="12.75"/>
    <row r="15" spans="1:10" ht="13.15" customHeight="1">
      <c r="A15" s="97" t="s">
        <v>180</v>
      </c>
      <c r="B15" s="97"/>
      <c r="C15" s="97"/>
      <c r="E15" s="98" t="s">
        <v>181</v>
      </c>
      <c r="F15" s="99"/>
    </row>
    <row r="16" spans="1:10" ht="12.75">
      <c r="A16" s="92" t="s">
        <v>182</v>
      </c>
      <c r="B16" s="8">
        <v>8</v>
      </c>
      <c r="C16" s="11">
        <v>0</v>
      </c>
      <c r="E16" s="92" t="s">
        <v>164</v>
      </c>
      <c r="F16" s="7">
        <v>0.4</v>
      </c>
      <c r="I16" s="18"/>
      <c r="J16" s="18"/>
    </row>
    <row r="17" spans="1:10">
      <c r="A17" s="92" t="s">
        <v>183</v>
      </c>
      <c r="B17" s="8"/>
      <c r="C17" s="11">
        <v>24</v>
      </c>
      <c r="E17" s="92" t="s">
        <v>172</v>
      </c>
      <c r="F17" s="7">
        <v>0</v>
      </c>
      <c r="I17" s="18"/>
      <c r="J17" s="18"/>
    </row>
    <row r="18" spans="1:10">
      <c r="I18" s="18"/>
      <c r="J18" s="18"/>
    </row>
    <row r="19" spans="1:10">
      <c r="I19" s="18"/>
      <c r="J19" s="18"/>
    </row>
    <row r="20" spans="1:10">
      <c r="A20" s="92" t="s">
        <v>184</v>
      </c>
      <c r="I20" s="18"/>
      <c r="J20" s="18"/>
    </row>
    <row r="21" spans="1:10">
      <c r="A21" s="14">
        <v>8.5000000000000006E-2</v>
      </c>
      <c r="I21" s="18"/>
      <c r="J21" s="18"/>
    </row>
    <row r="22" spans="1:10">
      <c r="I22" s="18"/>
      <c r="J22" s="18"/>
    </row>
    <row r="24" spans="1:10">
      <c r="A24" s="92" t="s">
        <v>153</v>
      </c>
      <c r="B24" s="92" t="s">
        <v>170</v>
      </c>
      <c r="C24" s="92" t="s">
        <v>177</v>
      </c>
      <c r="D24" s="92" t="s">
        <v>175</v>
      </c>
      <c r="E24" s="92" t="s">
        <v>166</v>
      </c>
      <c r="F24" s="92" t="s">
        <v>168</v>
      </c>
      <c r="G24" s="92" t="s">
        <v>185</v>
      </c>
      <c r="H24" s="92" t="s">
        <v>163</v>
      </c>
    </row>
    <row r="25" spans="1:10">
      <c r="A25" s="92" t="s">
        <v>154</v>
      </c>
      <c r="B25" s="12">
        <v>2809</v>
      </c>
      <c r="C25" s="12">
        <v>1675</v>
      </c>
      <c r="D25" s="12">
        <v>2664</v>
      </c>
      <c r="E25" s="12">
        <v>2096</v>
      </c>
      <c r="F25" s="12">
        <v>2496</v>
      </c>
      <c r="G25" s="12">
        <v>2300</v>
      </c>
      <c r="H25" s="12">
        <v>2766</v>
      </c>
    </row>
    <row r="26" spans="1:10">
      <c r="A26" s="92" t="s">
        <v>155</v>
      </c>
      <c r="B26" s="12">
        <v>150</v>
      </c>
      <c r="C26" s="12">
        <v>130</v>
      </c>
      <c r="D26" s="12">
        <v>130</v>
      </c>
      <c r="E26" s="12">
        <v>140</v>
      </c>
      <c r="F26" s="12">
        <v>120</v>
      </c>
      <c r="G26" s="12">
        <v>150</v>
      </c>
      <c r="H26" s="12">
        <v>170</v>
      </c>
    </row>
    <row r="100" spans="1:1">
      <c r="A100" s="19">
        <v>41730</v>
      </c>
    </row>
  </sheetData>
  <mergeCells count="2">
    <mergeCell ref="A15:C15"/>
    <mergeCell ref="E15:F15"/>
  </mergeCells>
  <phoneticPr fontId="4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1:U2017"/>
  <sheetViews>
    <sheetView workbookViewId="0">
      <selection activeCell="A27" sqref="A27:C30"/>
    </sheetView>
  </sheetViews>
  <sheetFormatPr defaultColWidth="11.42578125" defaultRowHeight="13.15"/>
  <cols>
    <col min="1" max="1" width="13.140625" customWidth="1"/>
    <col min="2" max="2" width="15.28515625" customWidth="1"/>
    <col min="3" max="3" width="28.42578125" customWidth="1"/>
    <col min="4" max="4" width="15.42578125" customWidth="1"/>
    <col min="5" max="5" width="17.140625" customWidth="1"/>
    <col min="6" max="6" width="13.140625" customWidth="1"/>
    <col min="8" max="8" width="23.5703125" customWidth="1"/>
    <col min="9" max="9" width="13.28515625" customWidth="1"/>
    <col min="10" max="10" width="18.42578125" customWidth="1"/>
    <col min="11" max="11" width="18.140625" customWidth="1"/>
  </cols>
  <sheetData>
    <row r="1" spans="1:11" ht="12.75">
      <c r="A1" s="107" t="s">
        <v>186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2.7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2.7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1" ht="17.25" customHeight="1">
      <c r="A4" s="106" t="s">
        <v>187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spans="1:11" ht="12.75"/>
    <row r="6" spans="1:11">
      <c r="A6" s="100" t="s">
        <v>188</v>
      </c>
      <c r="B6" s="46">
        <f ca="1">TODAY()</f>
        <v>46072</v>
      </c>
    </row>
    <row r="8" spans="1:11" ht="30.75" customHeight="1">
      <c r="A8" s="108" t="s">
        <v>189</v>
      </c>
      <c r="B8" s="108" t="s">
        <v>190</v>
      </c>
      <c r="C8" s="108" t="s">
        <v>191</v>
      </c>
      <c r="D8" s="108" t="s">
        <v>192</v>
      </c>
      <c r="E8" s="108" t="s">
        <v>193</v>
      </c>
      <c r="F8" s="108" t="s">
        <v>194</v>
      </c>
      <c r="G8" s="108" t="s">
        <v>195</v>
      </c>
      <c r="H8" s="108" t="s">
        <v>196</v>
      </c>
      <c r="I8" s="108" t="s">
        <v>197</v>
      </c>
      <c r="J8" s="108" t="s">
        <v>198</v>
      </c>
      <c r="K8" s="108" t="s">
        <v>199</v>
      </c>
    </row>
    <row r="9" spans="1:11" ht="12.75">
      <c r="A9" s="42">
        <v>2150</v>
      </c>
      <c r="B9" s="42" t="s">
        <v>200</v>
      </c>
      <c r="C9" s="42" t="s">
        <v>201</v>
      </c>
      <c r="D9" s="109">
        <v>33106</v>
      </c>
      <c r="E9" s="42" t="s">
        <v>202</v>
      </c>
      <c r="F9" s="110">
        <f>VLOOKUP(E9,$E$27:$F$34,2,0)</f>
        <v>21500</v>
      </c>
      <c r="G9" s="111">
        <f ca="1">DATEDIF(D9,$B$6,"Y")</f>
        <v>35</v>
      </c>
      <c r="H9" s="112">
        <f ca="1">F9*HLOOKUP(G9,$E$37:$J$38,2,1)</f>
        <v>5375</v>
      </c>
      <c r="I9" s="42" t="s">
        <v>164</v>
      </c>
      <c r="J9" s="112">
        <f ca="1">IF(AND(I9="S",G9&gt;=3),F9*0.05,0)</f>
        <v>1075</v>
      </c>
      <c r="K9" s="110">
        <f ca="1">F9+H9+J9</f>
        <v>27950</v>
      </c>
    </row>
    <row r="10" spans="1:11" ht="12.75">
      <c r="A10" s="42">
        <v>1400</v>
      </c>
      <c r="B10" s="42" t="s">
        <v>203</v>
      </c>
      <c r="C10" s="42" t="s">
        <v>204</v>
      </c>
      <c r="D10" s="109">
        <v>31422</v>
      </c>
      <c r="E10" s="42" t="s">
        <v>205</v>
      </c>
      <c r="F10" s="110">
        <f t="shared" ref="F10:F25" si="0">VLOOKUP(E10,$E$27:$F$34,2,0)</f>
        <v>21100</v>
      </c>
      <c r="G10" s="111">
        <f t="shared" ref="G10:G25" ca="1" si="1">DATEDIF(D10,$B$6,"Y")</f>
        <v>40</v>
      </c>
      <c r="H10" s="112">
        <f t="shared" ref="H10:H25" ca="1" si="2">F10*HLOOKUP(G10,$E$37:$J$38,2,1)</f>
        <v>5275</v>
      </c>
      <c r="I10" s="42" t="s">
        <v>164</v>
      </c>
      <c r="J10" s="112">
        <f t="shared" ref="J10:J25" ca="1" si="3">IF(AND(I10="S",G10&gt;=3),F10*0.05,0)</f>
        <v>1055</v>
      </c>
      <c r="K10" s="110">
        <f t="shared" ref="K10:K25" ca="1" si="4">F10+H10+J10</f>
        <v>27430</v>
      </c>
    </row>
    <row r="11" spans="1:11" ht="12.75">
      <c r="A11" s="42">
        <v>1790</v>
      </c>
      <c r="B11" s="42" t="s">
        <v>206</v>
      </c>
      <c r="C11" s="42" t="s">
        <v>207</v>
      </c>
      <c r="D11" s="109">
        <v>33490</v>
      </c>
      <c r="E11" s="42" t="s">
        <v>208</v>
      </c>
      <c r="F11" s="110">
        <f t="shared" si="0"/>
        <v>15950</v>
      </c>
      <c r="G11" s="111">
        <f t="shared" ca="1" si="1"/>
        <v>34</v>
      </c>
      <c r="H11" s="112">
        <f t="shared" ca="1" si="2"/>
        <v>3987.5</v>
      </c>
      <c r="I11" s="42" t="s">
        <v>164</v>
      </c>
      <c r="J11" s="112">
        <f t="shared" ca="1" si="3"/>
        <v>797.5</v>
      </c>
      <c r="K11" s="110">
        <f t="shared" ca="1" si="4"/>
        <v>20735</v>
      </c>
    </row>
    <row r="12" spans="1:11" ht="12.75">
      <c r="A12" s="42">
        <v>1450</v>
      </c>
      <c r="B12" s="42" t="s">
        <v>209</v>
      </c>
      <c r="C12" s="42" t="s">
        <v>210</v>
      </c>
      <c r="D12" s="109">
        <v>33098</v>
      </c>
      <c r="E12" s="42" t="s">
        <v>208</v>
      </c>
      <c r="F12" s="110">
        <f t="shared" si="0"/>
        <v>15950</v>
      </c>
      <c r="G12" s="111">
        <f t="shared" ca="1" si="1"/>
        <v>35</v>
      </c>
      <c r="H12" s="112">
        <f t="shared" ca="1" si="2"/>
        <v>3987.5</v>
      </c>
      <c r="I12" s="42" t="s">
        <v>172</v>
      </c>
      <c r="J12" s="112">
        <f t="shared" ca="1" si="3"/>
        <v>0</v>
      </c>
      <c r="K12" s="110">
        <f t="shared" ca="1" si="4"/>
        <v>19937.5</v>
      </c>
    </row>
    <row r="13" spans="1:11" ht="12.75">
      <c r="A13" s="42">
        <v>1550</v>
      </c>
      <c r="B13" s="42" t="s">
        <v>211</v>
      </c>
      <c r="C13" s="42" t="s">
        <v>212</v>
      </c>
      <c r="D13" s="109">
        <v>36863</v>
      </c>
      <c r="E13" s="42" t="s">
        <v>205</v>
      </c>
      <c r="F13" s="110">
        <f t="shared" si="0"/>
        <v>21100</v>
      </c>
      <c r="G13" s="111">
        <f t="shared" ca="1" si="1"/>
        <v>25</v>
      </c>
      <c r="H13" s="112">
        <f t="shared" ca="1" si="2"/>
        <v>4220</v>
      </c>
      <c r="I13" s="42" t="s">
        <v>172</v>
      </c>
      <c r="J13" s="112">
        <f t="shared" ca="1" si="3"/>
        <v>0</v>
      </c>
      <c r="K13" s="110">
        <f t="shared" ca="1" si="4"/>
        <v>25320</v>
      </c>
    </row>
    <row r="14" spans="1:11" ht="12.75">
      <c r="A14" s="42">
        <v>2030</v>
      </c>
      <c r="B14" s="42" t="s">
        <v>213</v>
      </c>
      <c r="C14" s="42" t="s">
        <v>214</v>
      </c>
      <c r="D14" s="109">
        <v>33770</v>
      </c>
      <c r="E14" s="42" t="s">
        <v>215</v>
      </c>
      <c r="F14" s="110">
        <f t="shared" si="0"/>
        <v>14780</v>
      </c>
      <c r="G14" s="111">
        <f t="shared" ca="1" si="1"/>
        <v>33</v>
      </c>
      <c r="H14" s="112">
        <f t="shared" ca="1" si="2"/>
        <v>3695</v>
      </c>
      <c r="I14" s="42" t="s">
        <v>172</v>
      </c>
      <c r="J14" s="112">
        <f t="shared" ca="1" si="3"/>
        <v>0</v>
      </c>
      <c r="K14" s="110">
        <f t="shared" ca="1" si="4"/>
        <v>18475</v>
      </c>
    </row>
    <row r="15" spans="1:11" ht="12.75">
      <c r="A15" s="42">
        <v>1520</v>
      </c>
      <c r="B15" s="42" t="s">
        <v>216</v>
      </c>
      <c r="C15" s="42" t="s">
        <v>217</v>
      </c>
      <c r="D15" s="109">
        <v>38484</v>
      </c>
      <c r="E15" s="42" t="s">
        <v>218</v>
      </c>
      <c r="F15" s="110">
        <f t="shared" si="0"/>
        <v>18320</v>
      </c>
      <c r="G15" s="111">
        <f t="shared" ca="1" si="1"/>
        <v>20</v>
      </c>
      <c r="H15" s="112">
        <f t="shared" ca="1" si="2"/>
        <v>3664</v>
      </c>
      <c r="I15" s="42" t="s">
        <v>164</v>
      </c>
      <c r="J15" s="112">
        <f t="shared" ca="1" si="3"/>
        <v>916</v>
      </c>
      <c r="K15" s="110">
        <f t="shared" ca="1" si="4"/>
        <v>22900</v>
      </c>
    </row>
    <row r="16" spans="1:11" ht="12.75">
      <c r="A16" s="42">
        <v>1730</v>
      </c>
      <c r="B16" s="42" t="s">
        <v>219</v>
      </c>
      <c r="C16" s="42" t="s">
        <v>220</v>
      </c>
      <c r="D16" s="109">
        <v>31575</v>
      </c>
      <c r="E16" s="42" t="s">
        <v>221</v>
      </c>
      <c r="F16" s="110">
        <f t="shared" si="0"/>
        <v>18500</v>
      </c>
      <c r="G16" s="111">
        <f t="shared" ca="1" si="1"/>
        <v>39</v>
      </c>
      <c r="H16" s="112">
        <f t="shared" ca="1" si="2"/>
        <v>4625</v>
      </c>
      <c r="I16" s="42" t="s">
        <v>172</v>
      </c>
      <c r="J16" s="112">
        <f t="shared" ca="1" si="3"/>
        <v>0</v>
      </c>
      <c r="K16" s="110">
        <f t="shared" ca="1" si="4"/>
        <v>23125</v>
      </c>
    </row>
    <row r="17" spans="1:11" ht="12.75">
      <c r="A17" s="42">
        <v>1340</v>
      </c>
      <c r="B17" s="42" t="s">
        <v>222</v>
      </c>
      <c r="C17" s="42" t="s">
        <v>220</v>
      </c>
      <c r="D17" s="109">
        <v>34429</v>
      </c>
      <c r="E17" s="42" t="s">
        <v>223</v>
      </c>
      <c r="F17" s="110">
        <f t="shared" si="0"/>
        <v>42100</v>
      </c>
      <c r="G17" s="111">
        <f t="shared" ca="1" si="1"/>
        <v>31</v>
      </c>
      <c r="H17" s="112">
        <f t="shared" ca="1" si="2"/>
        <v>10525</v>
      </c>
      <c r="I17" s="42" t="s">
        <v>164</v>
      </c>
      <c r="J17" s="112">
        <f t="shared" ca="1" si="3"/>
        <v>2105</v>
      </c>
      <c r="K17" s="110">
        <f t="shared" ca="1" si="4"/>
        <v>54730</v>
      </c>
    </row>
    <row r="18" spans="1:11" ht="12.75">
      <c r="A18" s="42">
        <v>1850</v>
      </c>
      <c r="B18" s="42" t="s">
        <v>224</v>
      </c>
      <c r="C18" s="42" t="s">
        <v>225</v>
      </c>
      <c r="D18" s="109">
        <v>28926</v>
      </c>
      <c r="E18" s="42" t="s">
        <v>208</v>
      </c>
      <c r="F18" s="110">
        <f t="shared" si="0"/>
        <v>15950</v>
      </c>
      <c r="G18" s="111">
        <f t="shared" ca="1" si="1"/>
        <v>46</v>
      </c>
      <c r="H18" s="112">
        <f t="shared" ca="1" si="2"/>
        <v>3987.5</v>
      </c>
      <c r="I18" s="42" t="s">
        <v>164</v>
      </c>
      <c r="J18" s="112">
        <f t="shared" ca="1" si="3"/>
        <v>797.5</v>
      </c>
      <c r="K18" s="110">
        <f t="shared" ca="1" si="4"/>
        <v>20735</v>
      </c>
    </row>
    <row r="19" spans="1:11" ht="12.75">
      <c r="A19" s="42">
        <v>2000</v>
      </c>
      <c r="B19" s="42" t="s">
        <v>226</v>
      </c>
      <c r="C19" s="42" t="s">
        <v>227</v>
      </c>
      <c r="D19" s="109">
        <v>33700</v>
      </c>
      <c r="E19" s="42" t="s">
        <v>202</v>
      </c>
      <c r="F19" s="110">
        <f t="shared" si="0"/>
        <v>21500</v>
      </c>
      <c r="G19" s="111">
        <f t="shared" ca="1" si="1"/>
        <v>33</v>
      </c>
      <c r="H19" s="112">
        <f t="shared" ca="1" si="2"/>
        <v>5375</v>
      </c>
      <c r="I19" s="42" t="s">
        <v>164</v>
      </c>
      <c r="J19" s="112">
        <f t="shared" ca="1" si="3"/>
        <v>1075</v>
      </c>
      <c r="K19" s="110">
        <f t="shared" ca="1" si="4"/>
        <v>27950</v>
      </c>
    </row>
    <row r="20" spans="1:11" ht="12.75">
      <c r="A20" s="42">
        <v>1820</v>
      </c>
      <c r="B20" s="42" t="s">
        <v>228</v>
      </c>
      <c r="C20" s="42" t="s">
        <v>229</v>
      </c>
      <c r="D20" s="109">
        <v>33553</v>
      </c>
      <c r="E20" s="42" t="s">
        <v>215</v>
      </c>
      <c r="F20" s="110">
        <f t="shared" si="0"/>
        <v>14780</v>
      </c>
      <c r="G20" s="111">
        <f t="shared" ca="1" si="1"/>
        <v>34</v>
      </c>
      <c r="H20" s="112">
        <f t="shared" ca="1" si="2"/>
        <v>3695</v>
      </c>
      <c r="I20" s="42" t="s">
        <v>172</v>
      </c>
      <c r="J20" s="112">
        <f t="shared" ca="1" si="3"/>
        <v>0</v>
      </c>
      <c r="K20" s="110">
        <f t="shared" ca="1" si="4"/>
        <v>18475</v>
      </c>
    </row>
    <row r="21" spans="1:11" ht="12.75">
      <c r="A21" s="42">
        <v>1760</v>
      </c>
      <c r="B21" s="42" t="s">
        <v>230</v>
      </c>
      <c r="C21" s="42" t="s">
        <v>231</v>
      </c>
      <c r="D21" s="109">
        <v>40781</v>
      </c>
      <c r="E21" s="42" t="s">
        <v>205</v>
      </c>
      <c r="F21" s="110">
        <f t="shared" si="0"/>
        <v>21100</v>
      </c>
      <c r="G21" s="111">
        <f t="shared" ca="1" si="1"/>
        <v>14</v>
      </c>
      <c r="H21" s="112">
        <f t="shared" ca="1" si="2"/>
        <v>3165</v>
      </c>
      <c r="I21" s="42" t="s">
        <v>164</v>
      </c>
      <c r="J21" s="112">
        <f t="shared" ca="1" si="3"/>
        <v>1055</v>
      </c>
      <c r="K21" s="110">
        <f t="shared" ca="1" si="4"/>
        <v>25320</v>
      </c>
    </row>
    <row r="22" spans="1:11" ht="12.75">
      <c r="A22" s="42">
        <v>1880</v>
      </c>
      <c r="B22" s="42" t="s">
        <v>232</v>
      </c>
      <c r="C22" s="42" t="s">
        <v>233</v>
      </c>
      <c r="D22" s="109">
        <v>33567</v>
      </c>
      <c r="E22" s="42" t="s">
        <v>215</v>
      </c>
      <c r="F22" s="110">
        <f t="shared" si="0"/>
        <v>14780</v>
      </c>
      <c r="G22" s="111">
        <f t="shared" ca="1" si="1"/>
        <v>34</v>
      </c>
      <c r="H22" s="112">
        <f t="shared" ca="1" si="2"/>
        <v>3695</v>
      </c>
      <c r="I22" s="42" t="s">
        <v>172</v>
      </c>
      <c r="J22" s="112">
        <f t="shared" ca="1" si="3"/>
        <v>0</v>
      </c>
      <c r="K22" s="110">
        <f t="shared" ca="1" si="4"/>
        <v>18475</v>
      </c>
    </row>
    <row r="23" spans="1:11" ht="12.75">
      <c r="A23" s="42">
        <v>1490</v>
      </c>
      <c r="B23" s="42" t="s">
        <v>234</v>
      </c>
      <c r="C23" s="42" t="s">
        <v>235</v>
      </c>
      <c r="D23" s="109">
        <v>40989</v>
      </c>
      <c r="E23" s="42" t="s">
        <v>208</v>
      </c>
      <c r="F23" s="110">
        <f t="shared" si="0"/>
        <v>15950</v>
      </c>
      <c r="G23" s="111">
        <f t="shared" ca="1" si="1"/>
        <v>13</v>
      </c>
      <c r="H23" s="112">
        <f t="shared" ca="1" si="2"/>
        <v>2392.5</v>
      </c>
      <c r="I23" s="42" t="s">
        <v>172</v>
      </c>
      <c r="J23" s="112">
        <f t="shared" ca="1" si="3"/>
        <v>0</v>
      </c>
      <c r="K23" s="110">
        <f t="shared" ca="1" si="4"/>
        <v>18342.5</v>
      </c>
    </row>
    <row r="24" spans="1:11" ht="12.75">
      <c r="A24" s="42">
        <v>1370</v>
      </c>
      <c r="B24" s="42" t="s">
        <v>236</v>
      </c>
      <c r="C24" s="42" t="s">
        <v>237</v>
      </c>
      <c r="D24" s="109">
        <v>32784</v>
      </c>
      <c r="E24" s="42" t="s">
        <v>223</v>
      </c>
      <c r="F24" s="110">
        <f t="shared" si="0"/>
        <v>42100</v>
      </c>
      <c r="G24" s="111">
        <f t="shared" ca="1" si="1"/>
        <v>36</v>
      </c>
      <c r="H24" s="112">
        <f t="shared" ca="1" si="2"/>
        <v>10525</v>
      </c>
      <c r="I24" s="42" t="s">
        <v>164</v>
      </c>
      <c r="J24" s="112">
        <f t="shared" ca="1" si="3"/>
        <v>2105</v>
      </c>
      <c r="K24" s="110">
        <f t="shared" ca="1" si="4"/>
        <v>54730</v>
      </c>
    </row>
    <row r="25" spans="1:11" ht="12.75">
      <c r="A25" s="42">
        <v>2001</v>
      </c>
      <c r="B25" s="42" t="s">
        <v>238</v>
      </c>
      <c r="C25" s="42" t="s">
        <v>239</v>
      </c>
      <c r="D25" s="109">
        <v>41289</v>
      </c>
      <c r="E25" s="42" t="s">
        <v>205</v>
      </c>
      <c r="F25" s="110">
        <f t="shared" si="0"/>
        <v>21100</v>
      </c>
      <c r="G25" s="111">
        <f t="shared" ca="1" si="1"/>
        <v>13</v>
      </c>
      <c r="H25" s="112">
        <f t="shared" ca="1" si="2"/>
        <v>3165</v>
      </c>
      <c r="I25" s="42" t="s">
        <v>164</v>
      </c>
      <c r="J25" s="112">
        <f t="shared" ca="1" si="3"/>
        <v>1055</v>
      </c>
      <c r="K25" s="110">
        <f t="shared" ca="1" si="4"/>
        <v>25320</v>
      </c>
    </row>
    <row r="26" spans="1:11">
      <c r="F26" s="1"/>
      <c r="G26" s="1"/>
      <c r="H26" s="1"/>
      <c r="I26" s="1"/>
      <c r="J26" s="1"/>
      <c r="K26" s="1"/>
    </row>
    <row r="27" spans="1:11">
      <c r="A27" s="42" t="s">
        <v>240</v>
      </c>
      <c r="B27" s="42"/>
      <c r="C27" s="56">
        <f>COUNTA(A9:A25)</f>
        <v>17</v>
      </c>
      <c r="E27" s="101" t="s">
        <v>241</v>
      </c>
      <c r="F27" s="101" t="s">
        <v>242</v>
      </c>
    </row>
    <row r="28" spans="1:11">
      <c r="A28" s="42" t="s">
        <v>243</v>
      </c>
      <c r="B28" s="42"/>
      <c r="C28" s="56">
        <f>COUNTIF(E9:E25,"EJECUTIVO")</f>
        <v>2</v>
      </c>
      <c r="E28" s="42" t="s">
        <v>221</v>
      </c>
      <c r="F28" s="102">
        <v>18500</v>
      </c>
    </row>
    <row r="29" spans="1:11">
      <c r="A29" s="42" t="s">
        <v>244</v>
      </c>
      <c r="B29" s="42"/>
      <c r="C29" s="56">
        <f>COUNTIF(A9:A25,"&gt;=2000")</f>
        <v>4</v>
      </c>
      <c r="E29" s="42" t="s">
        <v>223</v>
      </c>
      <c r="F29" s="102">
        <v>42100</v>
      </c>
    </row>
    <row r="30" spans="1:11">
      <c r="A30" s="43" t="s">
        <v>245</v>
      </c>
      <c r="B30" s="42"/>
      <c r="C30" s="56">
        <f ca="1">SUMIF(E9:E25,"VENTAs",K9:K25)</f>
        <v>79750</v>
      </c>
      <c r="E30" s="42" t="s">
        <v>205</v>
      </c>
      <c r="F30" s="102">
        <v>21100</v>
      </c>
    </row>
    <row r="31" spans="1:11">
      <c r="E31" s="42" t="s">
        <v>202</v>
      </c>
      <c r="F31" s="102">
        <v>21500</v>
      </c>
    </row>
    <row r="32" spans="1:11">
      <c r="E32" s="42" t="s">
        <v>218</v>
      </c>
      <c r="F32" s="102">
        <v>18320</v>
      </c>
    </row>
    <row r="33" spans="1:10">
      <c r="E33" s="42" t="s">
        <v>215</v>
      </c>
      <c r="F33" s="102">
        <v>14780</v>
      </c>
    </row>
    <row r="34" spans="1:10">
      <c r="E34" s="42" t="s">
        <v>208</v>
      </c>
      <c r="F34" s="102">
        <v>15950</v>
      </c>
    </row>
    <row r="37" spans="1:10">
      <c r="E37" s="103" t="s">
        <v>246</v>
      </c>
      <c r="F37" s="103">
        <v>0</v>
      </c>
      <c r="G37" s="103">
        <v>5</v>
      </c>
      <c r="H37" s="103">
        <v>10</v>
      </c>
      <c r="I37" s="103">
        <v>20</v>
      </c>
      <c r="J37" s="103">
        <v>30</v>
      </c>
    </row>
    <row r="38" spans="1:10">
      <c r="E38" s="42" t="s">
        <v>247</v>
      </c>
      <c r="F38" s="104">
        <v>0</v>
      </c>
      <c r="G38" s="104">
        <v>0.1</v>
      </c>
      <c r="H38" s="104">
        <v>0.15</v>
      </c>
      <c r="I38" s="104">
        <v>0.2</v>
      </c>
      <c r="J38" s="104">
        <v>0.25</v>
      </c>
    </row>
    <row r="45" spans="1:10" ht="12.75">
      <c r="A45" s="105" t="s">
        <v>248</v>
      </c>
    </row>
    <row r="100" spans="1:1">
      <c r="A100" s="19">
        <v>41730</v>
      </c>
    </row>
    <row r="2017" spans="21:21">
      <c r="U2017" t="s">
        <v>249</v>
      </c>
    </row>
  </sheetData>
  <sortState xmlns:xlrd2="http://schemas.microsoft.com/office/spreadsheetml/2017/richdata2" ref="A9:K26">
    <sortCondition ref="C9:C26"/>
  </sortState>
  <mergeCells count="2">
    <mergeCell ref="A4:K4"/>
    <mergeCell ref="A1:K3"/>
  </mergeCells>
  <phoneticPr fontId="4" type="noConversion"/>
  <dataValidations count="1">
    <dataValidation type="date" operator="lessThan" allowBlank="1" showInputMessage="1" showErrorMessage="1" error="Ingresaste una fecha menor a 1/1/1978" prompt="Solo fechas mayores a  1/1/1978" sqref="D9:D25" xr:uid="{9E4BBFA8-CDE5-4E3A-BB61-5DF9E92CE774}">
      <formula1>28491</formula1>
    </dataValidation>
  </dataValidations>
  <pageMargins left="0.75" right="0.75" top="1" bottom="1" header="0" footer="0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2024-07-26T19:48:17Z</dcterms:created>
  <dcterms:modified xsi:type="dcterms:W3CDTF">2026-02-19T21:35:42Z</dcterms:modified>
  <cp:category/>
  <cp:contentStatus/>
</cp:coreProperties>
</file>