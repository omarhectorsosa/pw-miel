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EDUCACION\UNLAM\COMPUTACION TRANSVERSAL\MATERIAL EXCEL 365\ACTUALIZACION_MATERIAL_1C2025\Lucas Paradisi\TP6 NUEVO NUEVO\"/>
    </mc:Choice>
  </mc:AlternateContent>
  <xr:revisionPtr revIDLastSave="0" documentId="8_{0621B91C-D705-4D3E-A3BE-583EC12E9DF0}" xr6:coauthVersionLast="47" xr6:coauthVersionMax="47" xr10:uidLastSave="{00000000-0000-0000-0000-000000000000}"/>
  <bookViews>
    <workbookView xWindow="-110" yWindow="-110" windowWidth="25820" windowHeight="13900" tabRatio="702" firstSheet="5" activeTab="12" xr2:uid="{00000000-000D-0000-FFFF-FFFF00000000}"/>
  </bookViews>
  <sheets>
    <sheet name="Datos personales" sheetId="24" r:id="rId1"/>
    <sheet name="Ejercicio 1" sheetId="19" r:id="rId2"/>
    <sheet name="Ejercicio 2" sheetId="15" r:id="rId3"/>
    <sheet name="Ejercicio 2 .1" sheetId="29" r:id="rId4"/>
    <sheet name="Ejercicio 2 .2" sheetId="28" r:id="rId5"/>
    <sheet name="Ejercicio 2.3" sheetId="27" r:id="rId6"/>
    <sheet name="Ejercicio 3" sheetId="18" r:id="rId7"/>
    <sheet name="Ejercicio 3.1" sheetId="32" r:id="rId8"/>
    <sheet name="Ejercicio 3.2" sheetId="31" r:id="rId9"/>
    <sheet name="Ejercicio 3.3" sheetId="30" r:id="rId10"/>
    <sheet name="Ejercicio 4" sheetId="21" r:id="rId11"/>
    <sheet name="Ejercicio 5" sheetId="25" r:id="rId12"/>
    <sheet name="Ejercicio 6" sheetId="26" r:id="rId13"/>
  </sheets>
  <definedNames>
    <definedName name="_xlnm._FilterDatabase" localSheetId="2" hidden="1">'Ejercicio 2'!$A$2:$F$56</definedName>
    <definedName name="_xlnm._FilterDatabase" localSheetId="3" hidden="1">'Ejercicio 2 .1'!$A$2:$F$56</definedName>
    <definedName name="_xlnm._FilterDatabase" localSheetId="4" hidden="1">'Ejercicio 2 .2'!$A$2:$F$56</definedName>
    <definedName name="_xlnm._FilterDatabase" localSheetId="5" hidden="1">'Ejercicio 2.3'!$A$2:$F$56</definedName>
    <definedName name="_xlnm._FilterDatabase" localSheetId="10" hidden="1">'Ejercicio 4'!$A$7:$H$47</definedName>
    <definedName name="A1." localSheetId="0">'Datos personales'!$RAA$1892</definedName>
    <definedName name="A1.">#REF!</definedName>
    <definedName name="aranceles" localSheetId="0">#REF!</definedName>
    <definedName name="aranceles">#REF!</definedName>
    <definedName name="inscripciones" localSheetId="0">#REF!</definedName>
    <definedName name="inscripciones">#REF!</definedName>
    <definedName name="IVA" localSheetId="0">#REF!</definedName>
    <definedName name="IVA">#REF!</definedName>
    <definedName name="materias" localSheetId="0">#REF!</definedName>
    <definedName name="materias">#REF!</definedName>
    <definedName name="Productos" localSheetId="0">#REF!</definedName>
    <definedName name="Productos">#REF!</definedName>
    <definedName name="SegmentaciónDeDatos_Cilindrada__cc_">#N/A</definedName>
    <definedName name="SegmentaciónDeDatos_Precio">#N/A</definedName>
    <definedName name="SegmentaciónDeDatos_Producto">#N/A</definedName>
    <definedName name="SegmentaciónDeDatos_Sucursal">#N/A</definedName>
    <definedName name="VER">#REF!</definedName>
  </definedNames>
  <calcPr calcId="191028" iterate="1" calcCompleted="0"/>
  <pivotCaches>
    <pivotCache cacheId="2368" r:id="rId14"/>
    <pivotCache cacheId="2484" r:id="rId15"/>
    <pivotCache cacheId="3046" r:id="rId16"/>
    <pivotCache cacheId="3140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0"/>
        <x14:slicerCache r:id="rId2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21" l="1"/>
  <c r="G65" i="21"/>
  <c r="G66" i="21"/>
  <c r="H62" i="21"/>
  <c r="H61" i="21"/>
  <c r="H60" i="21"/>
  <c r="G62" i="21"/>
  <c r="G61" i="21"/>
  <c r="G60" i="21"/>
  <c r="E67" i="21"/>
  <c r="E66" i="21"/>
  <c r="E65" i="21"/>
  <c r="E62" i="21"/>
  <c r="E61" i="21"/>
  <c r="E60" i="21"/>
  <c r="E55" i="21"/>
  <c r="E54" i="21"/>
  <c r="E53" i="21"/>
  <c r="B105" i="32"/>
  <c r="B104" i="32"/>
  <c r="B103" i="32"/>
  <c r="B102" i="32"/>
  <c r="B101" i="32"/>
  <c r="C100" i="32"/>
  <c r="D100" i="32"/>
  <c r="K81" i="32"/>
  <c r="J81" i="32"/>
  <c r="L81" i="32" s="1"/>
  <c r="H81" i="32"/>
  <c r="I81" i="32" s="1"/>
  <c r="K80" i="32"/>
  <c r="J80" i="32"/>
  <c r="L80" i="32" s="1"/>
  <c r="H80" i="32"/>
  <c r="I80" i="32" s="1"/>
  <c r="K79" i="32"/>
  <c r="J79" i="32"/>
  <c r="L79" i="32" s="1"/>
  <c r="H79" i="32"/>
  <c r="I79" i="32" s="1"/>
  <c r="K78" i="32"/>
  <c r="J78" i="32"/>
  <c r="L78" i="32" s="1"/>
  <c r="H78" i="32"/>
  <c r="I78" i="32" s="1"/>
  <c r="K77" i="32"/>
  <c r="J77" i="32"/>
  <c r="L77" i="32" s="1"/>
  <c r="H77" i="32"/>
  <c r="I77" i="32" s="1"/>
  <c r="K76" i="32"/>
  <c r="J76" i="32"/>
  <c r="L76" i="32" s="1"/>
  <c r="H76" i="32"/>
  <c r="I76" i="32" s="1"/>
  <c r="K75" i="32"/>
  <c r="J75" i="32"/>
  <c r="L75" i="32" s="1"/>
  <c r="H75" i="32"/>
  <c r="I75" i="32" s="1"/>
  <c r="K74" i="32"/>
  <c r="J74" i="32"/>
  <c r="L74" i="32" s="1"/>
  <c r="H74" i="32"/>
  <c r="I74" i="32" s="1"/>
  <c r="K73" i="32"/>
  <c r="J73" i="32"/>
  <c r="L73" i="32" s="1"/>
  <c r="H73" i="32"/>
  <c r="I73" i="32" s="1"/>
  <c r="K72" i="32"/>
  <c r="J72" i="32"/>
  <c r="L72" i="32" s="1"/>
  <c r="H72" i="32"/>
  <c r="I72" i="32" s="1"/>
  <c r="K71" i="32"/>
  <c r="J71" i="32"/>
  <c r="L71" i="32" s="1"/>
  <c r="H71" i="32"/>
  <c r="I71" i="32" s="1"/>
  <c r="K70" i="32"/>
  <c r="J70" i="32"/>
  <c r="L70" i="32" s="1"/>
  <c r="H70" i="32"/>
  <c r="I70" i="32" s="1"/>
  <c r="K69" i="32"/>
  <c r="J69" i="32"/>
  <c r="L69" i="32" s="1"/>
  <c r="H69" i="32"/>
  <c r="I69" i="32" s="1"/>
  <c r="K68" i="32"/>
  <c r="J68" i="32"/>
  <c r="L68" i="32" s="1"/>
  <c r="H68" i="32"/>
  <c r="I68" i="32" s="1"/>
  <c r="K67" i="32"/>
  <c r="J67" i="32"/>
  <c r="L67" i="32" s="1"/>
  <c r="H67" i="32"/>
  <c r="I67" i="32" s="1"/>
  <c r="K66" i="32"/>
  <c r="J66" i="32"/>
  <c r="L66" i="32" s="1"/>
  <c r="H66" i="32"/>
  <c r="I66" i="32" s="1"/>
  <c r="K65" i="32"/>
  <c r="J65" i="32"/>
  <c r="L65" i="32" s="1"/>
  <c r="H65" i="32"/>
  <c r="I65" i="32" s="1"/>
  <c r="K64" i="32"/>
  <c r="J64" i="32"/>
  <c r="L64" i="32" s="1"/>
  <c r="H64" i="32"/>
  <c r="I64" i="32" s="1"/>
  <c r="K63" i="32"/>
  <c r="J63" i="32"/>
  <c r="L63" i="32" s="1"/>
  <c r="H63" i="32"/>
  <c r="I63" i="32" s="1"/>
  <c r="K62" i="32"/>
  <c r="J62" i="32"/>
  <c r="L62" i="32" s="1"/>
  <c r="H62" i="32"/>
  <c r="I62" i="32" s="1"/>
  <c r="K61" i="32"/>
  <c r="J61" i="32"/>
  <c r="L61" i="32" s="1"/>
  <c r="H61" i="32"/>
  <c r="I61" i="32" s="1"/>
  <c r="K60" i="32"/>
  <c r="J60" i="32"/>
  <c r="L60" i="32" s="1"/>
  <c r="H60" i="32"/>
  <c r="I60" i="32" s="1"/>
  <c r="K59" i="32"/>
  <c r="J59" i="32"/>
  <c r="L59" i="32" s="1"/>
  <c r="H59" i="32"/>
  <c r="I59" i="32" s="1"/>
  <c r="K58" i="32"/>
  <c r="J58" i="32"/>
  <c r="L58" i="32" s="1"/>
  <c r="H58" i="32"/>
  <c r="I58" i="32" s="1"/>
  <c r="K57" i="32"/>
  <c r="J57" i="32"/>
  <c r="L57" i="32" s="1"/>
  <c r="H57" i="32"/>
  <c r="I57" i="32" s="1"/>
  <c r="K56" i="32"/>
  <c r="J56" i="32"/>
  <c r="L56" i="32" s="1"/>
  <c r="H56" i="32"/>
  <c r="I56" i="32" s="1"/>
  <c r="K55" i="32"/>
  <c r="J55" i="32"/>
  <c r="L55" i="32" s="1"/>
  <c r="H55" i="32"/>
  <c r="I55" i="32" s="1"/>
  <c r="K54" i="32"/>
  <c r="J54" i="32"/>
  <c r="L54" i="32" s="1"/>
  <c r="H54" i="32"/>
  <c r="I54" i="32" s="1"/>
  <c r="K53" i="32"/>
  <c r="J53" i="32"/>
  <c r="L53" i="32" s="1"/>
  <c r="H53" i="32"/>
  <c r="I53" i="32" s="1"/>
  <c r="K52" i="32"/>
  <c r="J52" i="32"/>
  <c r="L52" i="32" s="1"/>
  <c r="H52" i="32"/>
  <c r="I52" i="32" s="1"/>
  <c r="K51" i="32"/>
  <c r="J51" i="32"/>
  <c r="L51" i="32" s="1"/>
  <c r="H51" i="32"/>
  <c r="I51" i="32" s="1"/>
  <c r="K50" i="32"/>
  <c r="J50" i="32"/>
  <c r="L50" i="32" s="1"/>
  <c r="H50" i="32"/>
  <c r="I50" i="32" s="1"/>
  <c r="K49" i="32"/>
  <c r="J49" i="32"/>
  <c r="L49" i="32" s="1"/>
  <c r="H49" i="32"/>
  <c r="I49" i="32" s="1"/>
  <c r="K48" i="32"/>
  <c r="J48" i="32"/>
  <c r="L48" i="32" s="1"/>
  <c r="H48" i="32"/>
  <c r="I48" i="32" s="1"/>
  <c r="K47" i="32"/>
  <c r="J47" i="32"/>
  <c r="L47" i="32" s="1"/>
  <c r="H47" i="32"/>
  <c r="I47" i="32" s="1"/>
  <c r="K46" i="32"/>
  <c r="J46" i="32"/>
  <c r="L46" i="32" s="1"/>
  <c r="H46" i="32"/>
  <c r="I46" i="32" s="1"/>
  <c r="K45" i="32"/>
  <c r="J45" i="32"/>
  <c r="L45" i="32" s="1"/>
  <c r="H45" i="32"/>
  <c r="I45" i="32" s="1"/>
  <c r="K44" i="32"/>
  <c r="J44" i="32"/>
  <c r="L44" i="32" s="1"/>
  <c r="H44" i="32"/>
  <c r="I44" i="32" s="1"/>
  <c r="K43" i="32"/>
  <c r="J43" i="32"/>
  <c r="L43" i="32" s="1"/>
  <c r="H43" i="32"/>
  <c r="I43" i="32" s="1"/>
  <c r="K42" i="32"/>
  <c r="J42" i="32"/>
  <c r="L42" i="32" s="1"/>
  <c r="H42" i="32"/>
  <c r="I42" i="32" s="1"/>
  <c r="K41" i="32"/>
  <c r="J41" i="32"/>
  <c r="L41" i="32" s="1"/>
  <c r="H41" i="32"/>
  <c r="I41" i="32" s="1"/>
  <c r="K40" i="32"/>
  <c r="J40" i="32"/>
  <c r="L40" i="32" s="1"/>
  <c r="H40" i="32"/>
  <c r="I40" i="32" s="1"/>
  <c r="K39" i="32"/>
  <c r="J39" i="32"/>
  <c r="L39" i="32" s="1"/>
  <c r="H39" i="32"/>
  <c r="I39" i="32" s="1"/>
  <c r="K38" i="32"/>
  <c r="J38" i="32"/>
  <c r="L38" i="32" s="1"/>
  <c r="H38" i="32"/>
  <c r="I38" i="32" s="1"/>
  <c r="K37" i="32"/>
  <c r="J37" i="32"/>
  <c r="L37" i="32" s="1"/>
  <c r="H37" i="32"/>
  <c r="I37" i="32" s="1"/>
  <c r="K36" i="32"/>
  <c r="J36" i="32"/>
  <c r="L36" i="32" s="1"/>
  <c r="H36" i="32"/>
  <c r="I36" i="32" s="1"/>
  <c r="K35" i="32"/>
  <c r="J35" i="32"/>
  <c r="L35" i="32" s="1"/>
  <c r="H35" i="32"/>
  <c r="I35" i="32" s="1"/>
  <c r="K34" i="32"/>
  <c r="J34" i="32"/>
  <c r="L34" i="32" s="1"/>
  <c r="H34" i="32"/>
  <c r="I34" i="32" s="1"/>
  <c r="K33" i="32"/>
  <c r="J33" i="32"/>
  <c r="L33" i="32" s="1"/>
  <c r="H33" i="32"/>
  <c r="I33" i="32" s="1"/>
  <c r="K32" i="32"/>
  <c r="J32" i="32"/>
  <c r="L32" i="32" s="1"/>
  <c r="H32" i="32"/>
  <c r="I32" i="32" s="1"/>
  <c r="K31" i="32"/>
  <c r="J31" i="32"/>
  <c r="L31" i="32" s="1"/>
  <c r="H31" i="32"/>
  <c r="I31" i="32" s="1"/>
  <c r="K30" i="32"/>
  <c r="J30" i="32"/>
  <c r="L30" i="32" s="1"/>
  <c r="H30" i="32"/>
  <c r="I30" i="32" s="1"/>
  <c r="K29" i="32"/>
  <c r="J29" i="32"/>
  <c r="L29" i="32" s="1"/>
  <c r="H29" i="32"/>
  <c r="I29" i="32" s="1"/>
  <c r="K28" i="32"/>
  <c r="J28" i="32"/>
  <c r="L28" i="32" s="1"/>
  <c r="H28" i="32"/>
  <c r="I28" i="32" s="1"/>
  <c r="K27" i="32"/>
  <c r="J27" i="32"/>
  <c r="L27" i="32" s="1"/>
  <c r="H27" i="32"/>
  <c r="I27" i="32" s="1"/>
  <c r="K26" i="32"/>
  <c r="J26" i="32"/>
  <c r="L26" i="32" s="1"/>
  <c r="H26" i="32"/>
  <c r="I26" i="32" s="1"/>
  <c r="K25" i="32"/>
  <c r="J25" i="32"/>
  <c r="L25" i="32" s="1"/>
  <c r="H25" i="32"/>
  <c r="I25" i="32" s="1"/>
  <c r="K24" i="32"/>
  <c r="J24" i="32"/>
  <c r="L24" i="32" s="1"/>
  <c r="H24" i="32"/>
  <c r="I24" i="32" s="1"/>
  <c r="K23" i="32"/>
  <c r="J23" i="32"/>
  <c r="L23" i="32" s="1"/>
  <c r="H23" i="32"/>
  <c r="I23" i="32" s="1"/>
  <c r="K22" i="32"/>
  <c r="J22" i="32"/>
  <c r="L22" i="32" s="1"/>
  <c r="H22" i="32"/>
  <c r="I22" i="32" s="1"/>
  <c r="K21" i="32"/>
  <c r="J21" i="32"/>
  <c r="L21" i="32" s="1"/>
  <c r="H21" i="32"/>
  <c r="I21" i="32" s="1"/>
  <c r="K20" i="32"/>
  <c r="J20" i="32"/>
  <c r="L20" i="32" s="1"/>
  <c r="H20" i="32"/>
  <c r="I20" i="32" s="1"/>
  <c r="K19" i="32"/>
  <c r="J19" i="32"/>
  <c r="L19" i="32" s="1"/>
  <c r="H19" i="32"/>
  <c r="I19" i="32" s="1"/>
  <c r="K18" i="32"/>
  <c r="J18" i="32"/>
  <c r="L18" i="32" s="1"/>
  <c r="H18" i="32"/>
  <c r="I18" i="32" s="1"/>
  <c r="K17" i="32"/>
  <c r="J17" i="32"/>
  <c r="L17" i="32" s="1"/>
  <c r="H17" i="32"/>
  <c r="I17" i="32" s="1"/>
  <c r="K16" i="32"/>
  <c r="J16" i="32"/>
  <c r="L16" i="32" s="1"/>
  <c r="H16" i="32"/>
  <c r="I16" i="32" s="1"/>
  <c r="K15" i="32"/>
  <c r="J15" i="32"/>
  <c r="L15" i="32" s="1"/>
  <c r="H15" i="32"/>
  <c r="I15" i="32" s="1"/>
  <c r="K14" i="32"/>
  <c r="J14" i="32"/>
  <c r="L14" i="32" s="1"/>
  <c r="H14" i="32"/>
  <c r="I14" i="32" s="1"/>
  <c r="K13" i="32"/>
  <c r="J13" i="32"/>
  <c r="L13" i="32" s="1"/>
  <c r="H13" i="32"/>
  <c r="I13" i="32" s="1"/>
  <c r="K12" i="32"/>
  <c r="J12" i="32"/>
  <c r="L12" i="32" s="1"/>
  <c r="H12" i="32"/>
  <c r="I12" i="32" s="1"/>
  <c r="K11" i="32"/>
  <c r="J11" i="32"/>
  <c r="L11" i="32" s="1"/>
  <c r="H11" i="32"/>
  <c r="I11" i="32" s="1"/>
  <c r="K10" i="32"/>
  <c r="J10" i="32"/>
  <c r="L10" i="32" s="1"/>
  <c r="H10" i="32"/>
  <c r="I10" i="32" s="1"/>
  <c r="K9" i="32"/>
  <c r="J9" i="32"/>
  <c r="L9" i="32" s="1"/>
  <c r="H9" i="32"/>
  <c r="I9" i="32" s="1"/>
  <c r="K8" i="32"/>
  <c r="J8" i="32"/>
  <c r="L8" i="32" s="1"/>
  <c r="H8" i="32"/>
  <c r="I8" i="32" s="1"/>
  <c r="K7" i="32"/>
  <c r="J7" i="32"/>
  <c r="L7" i="32" s="1"/>
  <c r="H7" i="32"/>
  <c r="I7" i="32" s="1"/>
  <c r="K6" i="32"/>
  <c r="J6" i="32"/>
  <c r="L6" i="32" s="1"/>
  <c r="H6" i="32"/>
  <c r="I6" i="32" s="1"/>
  <c r="K5" i="32"/>
  <c r="J5" i="32"/>
  <c r="L5" i="32" s="1"/>
  <c r="H5" i="32"/>
  <c r="I5" i="32" s="1"/>
  <c r="K81" i="31"/>
  <c r="J81" i="31"/>
  <c r="L81" i="31" s="1"/>
  <c r="H81" i="31"/>
  <c r="I81" i="31" s="1"/>
  <c r="K80" i="31"/>
  <c r="J80" i="31"/>
  <c r="L80" i="31" s="1"/>
  <c r="H80" i="31"/>
  <c r="I80" i="31" s="1"/>
  <c r="K79" i="31"/>
  <c r="J79" i="31"/>
  <c r="L79" i="31" s="1"/>
  <c r="H79" i="31"/>
  <c r="I79" i="31" s="1"/>
  <c r="K78" i="31"/>
  <c r="J78" i="31"/>
  <c r="L78" i="31" s="1"/>
  <c r="H78" i="31"/>
  <c r="I78" i="31" s="1"/>
  <c r="K77" i="31"/>
  <c r="J77" i="31"/>
  <c r="L77" i="31" s="1"/>
  <c r="H77" i="31"/>
  <c r="I77" i="31" s="1"/>
  <c r="K76" i="31"/>
  <c r="J76" i="31"/>
  <c r="L76" i="31" s="1"/>
  <c r="H76" i="31"/>
  <c r="I76" i="31" s="1"/>
  <c r="K75" i="31"/>
  <c r="J75" i="31"/>
  <c r="L75" i="31" s="1"/>
  <c r="H75" i="31"/>
  <c r="I75" i="31" s="1"/>
  <c r="K74" i="31"/>
  <c r="J74" i="31"/>
  <c r="L74" i="31" s="1"/>
  <c r="H74" i="31"/>
  <c r="I74" i="31" s="1"/>
  <c r="K73" i="31"/>
  <c r="J73" i="31"/>
  <c r="L73" i="31" s="1"/>
  <c r="H73" i="31"/>
  <c r="I73" i="31" s="1"/>
  <c r="K72" i="31"/>
  <c r="J72" i="31"/>
  <c r="L72" i="31" s="1"/>
  <c r="H72" i="31"/>
  <c r="I72" i="31" s="1"/>
  <c r="K71" i="31"/>
  <c r="J71" i="31"/>
  <c r="L71" i="31" s="1"/>
  <c r="H71" i="31"/>
  <c r="I71" i="31" s="1"/>
  <c r="K70" i="31"/>
  <c r="J70" i="31"/>
  <c r="L70" i="31" s="1"/>
  <c r="H70" i="31"/>
  <c r="I70" i="31" s="1"/>
  <c r="K69" i="31"/>
  <c r="J69" i="31"/>
  <c r="L69" i="31" s="1"/>
  <c r="H69" i="31"/>
  <c r="I69" i="31" s="1"/>
  <c r="K68" i="31"/>
  <c r="J68" i="31"/>
  <c r="L68" i="31" s="1"/>
  <c r="H68" i="31"/>
  <c r="I68" i="31" s="1"/>
  <c r="K67" i="31"/>
  <c r="J67" i="31"/>
  <c r="L67" i="31" s="1"/>
  <c r="H67" i="31"/>
  <c r="I67" i="31" s="1"/>
  <c r="K66" i="31"/>
  <c r="J66" i="31"/>
  <c r="L66" i="31" s="1"/>
  <c r="H66" i="31"/>
  <c r="I66" i="31" s="1"/>
  <c r="K65" i="31"/>
  <c r="J65" i="31"/>
  <c r="L65" i="31" s="1"/>
  <c r="H65" i="31"/>
  <c r="I65" i="31" s="1"/>
  <c r="K64" i="31"/>
  <c r="J64" i="31"/>
  <c r="L64" i="31" s="1"/>
  <c r="H64" i="31"/>
  <c r="I64" i="31" s="1"/>
  <c r="K63" i="31"/>
  <c r="J63" i="31"/>
  <c r="L63" i="31" s="1"/>
  <c r="H63" i="31"/>
  <c r="I63" i="31" s="1"/>
  <c r="K62" i="31"/>
  <c r="J62" i="31"/>
  <c r="L62" i="31" s="1"/>
  <c r="H62" i="31"/>
  <c r="I62" i="31" s="1"/>
  <c r="K61" i="31"/>
  <c r="J61" i="31"/>
  <c r="L61" i="31" s="1"/>
  <c r="H61" i="31"/>
  <c r="I61" i="31" s="1"/>
  <c r="K60" i="31"/>
  <c r="J60" i="31"/>
  <c r="L60" i="31" s="1"/>
  <c r="H60" i="31"/>
  <c r="I60" i="31" s="1"/>
  <c r="K59" i="31"/>
  <c r="J59" i="31"/>
  <c r="L59" i="31" s="1"/>
  <c r="H59" i="31"/>
  <c r="I59" i="31" s="1"/>
  <c r="K58" i="31"/>
  <c r="J58" i="31"/>
  <c r="L58" i="31" s="1"/>
  <c r="H58" i="31"/>
  <c r="I58" i="31" s="1"/>
  <c r="K57" i="31"/>
  <c r="J57" i="31"/>
  <c r="L57" i="31" s="1"/>
  <c r="H57" i="31"/>
  <c r="I57" i="31" s="1"/>
  <c r="K56" i="31"/>
  <c r="J56" i="31"/>
  <c r="L56" i="31" s="1"/>
  <c r="H56" i="31"/>
  <c r="I56" i="31" s="1"/>
  <c r="K55" i="31"/>
  <c r="J55" i="31"/>
  <c r="L55" i="31" s="1"/>
  <c r="H55" i="31"/>
  <c r="I55" i="31" s="1"/>
  <c r="K54" i="31"/>
  <c r="J54" i="31"/>
  <c r="L54" i="31" s="1"/>
  <c r="H54" i="31"/>
  <c r="I54" i="31" s="1"/>
  <c r="K53" i="31"/>
  <c r="J53" i="31"/>
  <c r="L53" i="31" s="1"/>
  <c r="H53" i="31"/>
  <c r="I53" i="31" s="1"/>
  <c r="K52" i="31"/>
  <c r="J52" i="31"/>
  <c r="L52" i="31" s="1"/>
  <c r="H52" i="31"/>
  <c r="I52" i="31" s="1"/>
  <c r="K51" i="31"/>
  <c r="J51" i="31"/>
  <c r="L51" i="31" s="1"/>
  <c r="H51" i="31"/>
  <c r="I51" i="31" s="1"/>
  <c r="K50" i="31"/>
  <c r="J50" i="31"/>
  <c r="L50" i="31" s="1"/>
  <c r="H50" i="31"/>
  <c r="I50" i="31" s="1"/>
  <c r="K49" i="31"/>
  <c r="J49" i="31"/>
  <c r="L49" i="31" s="1"/>
  <c r="H49" i="31"/>
  <c r="I49" i="31" s="1"/>
  <c r="K48" i="31"/>
  <c r="J48" i="31"/>
  <c r="L48" i="31" s="1"/>
  <c r="H48" i="31"/>
  <c r="I48" i="31" s="1"/>
  <c r="K47" i="31"/>
  <c r="J47" i="31"/>
  <c r="L47" i="31" s="1"/>
  <c r="H47" i="31"/>
  <c r="I47" i="31" s="1"/>
  <c r="K46" i="31"/>
  <c r="J46" i="31"/>
  <c r="L46" i="31" s="1"/>
  <c r="H46" i="31"/>
  <c r="I46" i="31" s="1"/>
  <c r="K45" i="31"/>
  <c r="J45" i="31"/>
  <c r="L45" i="31" s="1"/>
  <c r="H45" i="31"/>
  <c r="I45" i="31" s="1"/>
  <c r="K44" i="31"/>
  <c r="J44" i="31"/>
  <c r="L44" i="31" s="1"/>
  <c r="H44" i="31"/>
  <c r="I44" i="31" s="1"/>
  <c r="K43" i="31"/>
  <c r="J43" i="31"/>
  <c r="L43" i="31" s="1"/>
  <c r="H43" i="31"/>
  <c r="I43" i="31" s="1"/>
  <c r="K42" i="31"/>
  <c r="J42" i="31"/>
  <c r="L42" i="31" s="1"/>
  <c r="H42" i="31"/>
  <c r="I42" i="31" s="1"/>
  <c r="K41" i="31"/>
  <c r="J41" i="31"/>
  <c r="L41" i="31" s="1"/>
  <c r="H41" i="31"/>
  <c r="I41" i="31" s="1"/>
  <c r="K40" i="31"/>
  <c r="J40" i="31"/>
  <c r="L40" i="31" s="1"/>
  <c r="H40" i="31"/>
  <c r="I40" i="31" s="1"/>
  <c r="K39" i="31"/>
  <c r="J39" i="31"/>
  <c r="L39" i="31" s="1"/>
  <c r="H39" i="31"/>
  <c r="I39" i="31" s="1"/>
  <c r="K38" i="31"/>
  <c r="J38" i="31"/>
  <c r="L38" i="31" s="1"/>
  <c r="H38" i="31"/>
  <c r="I38" i="31" s="1"/>
  <c r="K37" i="31"/>
  <c r="J37" i="31"/>
  <c r="L37" i="31" s="1"/>
  <c r="H37" i="31"/>
  <c r="I37" i="31" s="1"/>
  <c r="K36" i="31"/>
  <c r="J36" i="31"/>
  <c r="L36" i="31" s="1"/>
  <c r="H36" i="31"/>
  <c r="I36" i="31" s="1"/>
  <c r="K35" i="31"/>
  <c r="J35" i="31"/>
  <c r="L35" i="31" s="1"/>
  <c r="H35" i="31"/>
  <c r="I35" i="31" s="1"/>
  <c r="K34" i="31"/>
  <c r="J34" i="31"/>
  <c r="L34" i="31" s="1"/>
  <c r="H34" i="31"/>
  <c r="I34" i="31" s="1"/>
  <c r="K33" i="31"/>
  <c r="J33" i="31"/>
  <c r="L33" i="31" s="1"/>
  <c r="H33" i="31"/>
  <c r="I33" i="31" s="1"/>
  <c r="K32" i="31"/>
  <c r="J32" i="31"/>
  <c r="L32" i="31" s="1"/>
  <c r="H32" i="31"/>
  <c r="I32" i="31" s="1"/>
  <c r="K31" i="31"/>
  <c r="J31" i="31"/>
  <c r="L31" i="31" s="1"/>
  <c r="H31" i="31"/>
  <c r="I31" i="31" s="1"/>
  <c r="K30" i="31"/>
  <c r="J30" i="31"/>
  <c r="L30" i="31" s="1"/>
  <c r="H30" i="31"/>
  <c r="I30" i="31" s="1"/>
  <c r="K29" i="31"/>
  <c r="J29" i="31"/>
  <c r="L29" i="31" s="1"/>
  <c r="H29" i="31"/>
  <c r="I29" i="31" s="1"/>
  <c r="K28" i="31"/>
  <c r="J28" i="31"/>
  <c r="L28" i="31" s="1"/>
  <c r="H28" i="31"/>
  <c r="I28" i="31" s="1"/>
  <c r="K27" i="31"/>
  <c r="J27" i="31"/>
  <c r="L27" i="31" s="1"/>
  <c r="H27" i="31"/>
  <c r="I27" i="31" s="1"/>
  <c r="K26" i="31"/>
  <c r="J26" i="31"/>
  <c r="L26" i="31" s="1"/>
  <c r="H26" i="31"/>
  <c r="I26" i="31" s="1"/>
  <c r="K25" i="31"/>
  <c r="J25" i="31"/>
  <c r="L25" i="31" s="1"/>
  <c r="H25" i="31"/>
  <c r="I25" i="31" s="1"/>
  <c r="K24" i="31"/>
  <c r="J24" i="31"/>
  <c r="L24" i="31" s="1"/>
  <c r="H24" i="31"/>
  <c r="I24" i="31" s="1"/>
  <c r="K23" i="31"/>
  <c r="J23" i="31"/>
  <c r="L23" i="31" s="1"/>
  <c r="H23" i="31"/>
  <c r="I23" i="31" s="1"/>
  <c r="K22" i="31"/>
  <c r="J22" i="31"/>
  <c r="L22" i="31" s="1"/>
  <c r="H22" i="31"/>
  <c r="I22" i="31" s="1"/>
  <c r="K21" i="31"/>
  <c r="J21" i="31"/>
  <c r="L21" i="31" s="1"/>
  <c r="H21" i="31"/>
  <c r="I21" i="31" s="1"/>
  <c r="K20" i="31"/>
  <c r="J20" i="31"/>
  <c r="L20" i="31" s="1"/>
  <c r="H20" i="31"/>
  <c r="I20" i="31" s="1"/>
  <c r="K19" i="31"/>
  <c r="J19" i="31"/>
  <c r="L19" i="31" s="1"/>
  <c r="H19" i="31"/>
  <c r="I19" i="31" s="1"/>
  <c r="K18" i="31"/>
  <c r="J18" i="31"/>
  <c r="L18" i="31" s="1"/>
  <c r="H18" i="31"/>
  <c r="I18" i="31" s="1"/>
  <c r="K17" i="31"/>
  <c r="J17" i="31"/>
  <c r="L17" i="31" s="1"/>
  <c r="H17" i="31"/>
  <c r="I17" i="31" s="1"/>
  <c r="K16" i="31"/>
  <c r="J16" i="31"/>
  <c r="L16" i="31" s="1"/>
  <c r="H16" i="31"/>
  <c r="I16" i="31" s="1"/>
  <c r="K15" i="31"/>
  <c r="J15" i="31"/>
  <c r="L15" i="31" s="1"/>
  <c r="H15" i="31"/>
  <c r="I15" i="31" s="1"/>
  <c r="K14" i="31"/>
  <c r="J14" i="31"/>
  <c r="L14" i="31" s="1"/>
  <c r="H14" i="31"/>
  <c r="I14" i="31" s="1"/>
  <c r="K13" i="31"/>
  <c r="J13" i="31"/>
  <c r="L13" i="31" s="1"/>
  <c r="H13" i="31"/>
  <c r="I13" i="31" s="1"/>
  <c r="K12" i="31"/>
  <c r="J12" i="31"/>
  <c r="L12" i="31" s="1"/>
  <c r="H12" i="31"/>
  <c r="I12" i="31" s="1"/>
  <c r="K11" i="31"/>
  <c r="J11" i="31"/>
  <c r="L11" i="31" s="1"/>
  <c r="H11" i="31"/>
  <c r="I11" i="31" s="1"/>
  <c r="K10" i="31"/>
  <c r="J10" i="31"/>
  <c r="L10" i="31" s="1"/>
  <c r="H10" i="31"/>
  <c r="I10" i="31" s="1"/>
  <c r="K9" i="31"/>
  <c r="J9" i="31"/>
  <c r="L9" i="31" s="1"/>
  <c r="H9" i="31"/>
  <c r="I9" i="31" s="1"/>
  <c r="K8" i="31"/>
  <c r="J8" i="31"/>
  <c r="L8" i="31" s="1"/>
  <c r="H8" i="31"/>
  <c r="I8" i="31" s="1"/>
  <c r="K7" i="31"/>
  <c r="J7" i="31"/>
  <c r="L7" i="31" s="1"/>
  <c r="H7" i="31"/>
  <c r="I7" i="31" s="1"/>
  <c r="K6" i="31"/>
  <c r="J6" i="31"/>
  <c r="L6" i="31" s="1"/>
  <c r="H6" i="31"/>
  <c r="I6" i="31" s="1"/>
  <c r="K5" i="31"/>
  <c r="J5" i="31"/>
  <c r="L5" i="31" s="1"/>
  <c r="H5" i="31"/>
  <c r="I5" i="31" s="1"/>
  <c r="K81" i="30"/>
  <c r="J81" i="30"/>
  <c r="L81" i="30" s="1"/>
  <c r="H81" i="30"/>
  <c r="I81" i="30" s="1"/>
  <c r="K80" i="30"/>
  <c r="J80" i="30"/>
  <c r="L80" i="30" s="1"/>
  <c r="H80" i="30"/>
  <c r="I80" i="30" s="1"/>
  <c r="K79" i="30"/>
  <c r="J79" i="30"/>
  <c r="L79" i="30" s="1"/>
  <c r="H79" i="30"/>
  <c r="I79" i="30" s="1"/>
  <c r="K78" i="30"/>
  <c r="J78" i="30"/>
  <c r="L78" i="30" s="1"/>
  <c r="H78" i="30"/>
  <c r="I78" i="30" s="1"/>
  <c r="K77" i="30"/>
  <c r="J77" i="30"/>
  <c r="L77" i="30" s="1"/>
  <c r="H77" i="30"/>
  <c r="I77" i="30" s="1"/>
  <c r="K76" i="30"/>
  <c r="J76" i="30"/>
  <c r="L76" i="30" s="1"/>
  <c r="H76" i="30"/>
  <c r="I76" i="30" s="1"/>
  <c r="K75" i="30"/>
  <c r="J75" i="30"/>
  <c r="L75" i="30" s="1"/>
  <c r="H75" i="30"/>
  <c r="I75" i="30" s="1"/>
  <c r="K74" i="30"/>
  <c r="J74" i="30"/>
  <c r="L74" i="30" s="1"/>
  <c r="H74" i="30"/>
  <c r="I74" i="30" s="1"/>
  <c r="K73" i="30"/>
  <c r="J73" i="30"/>
  <c r="L73" i="30" s="1"/>
  <c r="H73" i="30"/>
  <c r="I73" i="30" s="1"/>
  <c r="K72" i="30"/>
  <c r="J72" i="30"/>
  <c r="L72" i="30" s="1"/>
  <c r="H72" i="30"/>
  <c r="I72" i="30" s="1"/>
  <c r="K71" i="30"/>
  <c r="J71" i="30"/>
  <c r="L71" i="30" s="1"/>
  <c r="H71" i="30"/>
  <c r="I71" i="30" s="1"/>
  <c r="K70" i="30"/>
  <c r="J70" i="30"/>
  <c r="L70" i="30" s="1"/>
  <c r="H70" i="30"/>
  <c r="I70" i="30" s="1"/>
  <c r="K69" i="30"/>
  <c r="J69" i="30"/>
  <c r="L69" i="30" s="1"/>
  <c r="H69" i="30"/>
  <c r="I69" i="30" s="1"/>
  <c r="K68" i="30"/>
  <c r="J68" i="30"/>
  <c r="L68" i="30" s="1"/>
  <c r="H68" i="30"/>
  <c r="I68" i="30" s="1"/>
  <c r="K67" i="30"/>
  <c r="J67" i="30"/>
  <c r="L67" i="30" s="1"/>
  <c r="H67" i="30"/>
  <c r="I67" i="30" s="1"/>
  <c r="K66" i="30"/>
  <c r="J66" i="30"/>
  <c r="L66" i="30" s="1"/>
  <c r="H66" i="30"/>
  <c r="I66" i="30" s="1"/>
  <c r="K65" i="30"/>
  <c r="J65" i="30"/>
  <c r="L65" i="30" s="1"/>
  <c r="H65" i="30"/>
  <c r="I65" i="30" s="1"/>
  <c r="K64" i="30"/>
  <c r="J64" i="30"/>
  <c r="L64" i="30" s="1"/>
  <c r="H64" i="30"/>
  <c r="I64" i="30" s="1"/>
  <c r="K63" i="30"/>
  <c r="J63" i="30"/>
  <c r="L63" i="30" s="1"/>
  <c r="H63" i="30"/>
  <c r="I63" i="30" s="1"/>
  <c r="K62" i="30"/>
  <c r="J62" i="30"/>
  <c r="L62" i="30" s="1"/>
  <c r="H62" i="30"/>
  <c r="I62" i="30" s="1"/>
  <c r="K61" i="30"/>
  <c r="J61" i="30"/>
  <c r="L61" i="30" s="1"/>
  <c r="H61" i="30"/>
  <c r="I61" i="30" s="1"/>
  <c r="K60" i="30"/>
  <c r="J60" i="30"/>
  <c r="L60" i="30" s="1"/>
  <c r="H60" i="30"/>
  <c r="I60" i="30" s="1"/>
  <c r="K59" i="30"/>
  <c r="J59" i="30"/>
  <c r="L59" i="30" s="1"/>
  <c r="H59" i="30"/>
  <c r="I59" i="30" s="1"/>
  <c r="K58" i="30"/>
  <c r="J58" i="30"/>
  <c r="L58" i="30" s="1"/>
  <c r="H58" i="30"/>
  <c r="I58" i="30" s="1"/>
  <c r="K57" i="30"/>
  <c r="J57" i="30"/>
  <c r="L57" i="30" s="1"/>
  <c r="H57" i="30"/>
  <c r="I57" i="30" s="1"/>
  <c r="K56" i="30"/>
  <c r="J56" i="30"/>
  <c r="L56" i="30" s="1"/>
  <c r="H56" i="30"/>
  <c r="I56" i="30" s="1"/>
  <c r="K55" i="30"/>
  <c r="J55" i="30"/>
  <c r="L55" i="30" s="1"/>
  <c r="H55" i="30"/>
  <c r="I55" i="30" s="1"/>
  <c r="K54" i="30"/>
  <c r="J54" i="30"/>
  <c r="L54" i="30" s="1"/>
  <c r="H54" i="30"/>
  <c r="I54" i="30" s="1"/>
  <c r="K53" i="30"/>
  <c r="J53" i="30"/>
  <c r="L53" i="30" s="1"/>
  <c r="H53" i="30"/>
  <c r="I53" i="30" s="1"/>
  <c r="K52" i="30"/>
  <c r="J52" i="30"/>
  <c r="L52" i="30" s="1"/>
  <c r="H52" i="30"/>
  <c r="I52" i="30" s="1"/>
  <c r="K51" i="30"/>
  <c r="J51" i="30"/>
  <c r="L51" i="30" s="1"/>
  <c r="H51" i="30"/>
  <c r="I51" i="30" s="1"/>
  <c r="K50" i="30"/>
  <c r="J50" i="30"/>
  <c r="L50" i="30" s="1"/>
  <c r="H50" i="30"/>
  <c r="I50" i="30" s="1"/>
  <c r="K49" i="30"/>
  <c r="J49" i="30"/>
  <c r="L49" i="30" s="1"/>
  <c r="H49" i="30"/>
  <c r="I49" i="30" s="1"/>
  <c r="K48" i="30"/>
  <c r="J48" i="30"/>
  <c r="L48" i="30" s="1"/>
  <c r="H48" i="30"/>
  <c r="I48" i="30" s="1"/>
  <c r="K47" i="30"/>
  <c r="J47" i="30"/>
  <c r="L47" i="30" s="1"/>
  <c r="H47" i="30"/>
  <c r="I47" i="30" s="1"/>
  <c r="K46" i="30"/>
  <c r="J46" i="30"/>
  <c r="L46" i="30" s="1"/>
  <c r="H46" i="30"/>
  <c r="I46" i="30" s="1"/>
  <c r="K45" i="30"/>
  <c r="J45" i="30"/>
  <c r="L45" i="30" s="1"/>
  <c r="H45" i="30"/>
  <c r="I45" i="30" s="1"/>
  <c r="K44" i="30"/>
  <c r="J44" i="30"/>
  <c r="L44" i="30" s="1"/>
  <c r="H44" i="30"/>
  <c r="I44" i="30" s="1"/>
  <c r="K43" i="30"/>
  <c r="J43" i="30"/>
  <c r="L43" i="30" s="1"/>
  <c r="H43" i="30"/>
  <c r="I43" i="30" s="1"/>
  <c r="K42" i="30"/>
  <c r="J42" i="30"/>
  <c r="L42" i="30" s="1"/>
  <c r="H42" i="30"/>
  <c r="I42" i="30" s="1"/>
  <c r="K41" i="30"/>
  <c r="J41" i="30"/>
  <c r="L41" i="30" s="1"/>
  <c r="H41" i="30"/>
  <c r="I41" i="30" s="1"/>
  <c r="K40" i="30"/>
  <c r="J40" i="30"/>
  <c r="L40" i="30" s="1"/>
  <c r="H40" i="30"/>
  <c r="I40" i="30" s="1"/>
  <c r="K39" i="30"/>
  <c r="J39" i="30"/>
  <c r="L39" i="30" s="1"/>
  <c r="H39" i="30"/>
  <c r="I39" i="30" s="1"/>
  <c r="K38" i="30"/>
  <c r="J38" i="30"/>
  <c r="L38" i="30" s="1"/>
  <c r="H38" i="30"/>
  <c r="I38" i="30" s="1"/>
  <c r="K37" i="30"/>
  <c r="J37" i="30"/>
  <c r="L37" i="30" s="1"/>
  <c r="H37" i="30"/>
  <c r="I37" i="30" s="1"/>
  <c r="K36" i="30"/>
  <c r="J36" i="30"/>
  <c r="L36" i="30" s="1"/>
  <c r="H36" i="30"/>
  <c r="I36" i="30" s="1"/>
  <c r="K35" i="30"/>
  <c r="J35" i="30"/>
  <c r="L35" i="30" s="1"/>
  <c r="H35" i="30"/>
  <c r="I35" i="30" s="1"/>
  <c r="K34" i="30"/>
  <c r="J34" i="30"/>
  <c r="L34" i="30" s="1"/>
  <c r="H34" i="30"/>
  <c r="I34" i="30" s="1"/>
  <c r="K33" i="30"/>
  <c r="J33" i="30"/>
  <c r="L33" i="30" s="1"/>
  <c r="H33" i="30"/>
  <c r="I33" i="30" s="1"/>
  <c r="K32" i="30"/>
  <c r="J32" i="30"/>
  <c r="L32" i="30" s="1"/>
  <c r="H32" i="30"/>
  <c r="I32" i="30" s="1"/>
  <c r="K31" i="30"/>
  <c r="J31" i="30"/>
  <c r="L31" i="30" s="1"/>
  <c r="H31" i="30"/>
  <c r="I31" i="30" s="1"/>
  <c r="K30" i="30"/>
  <c r="J30" i="30"/>
  <c r="L30" i="30" s="1"/>
  <c r="H30" i="30"/>
  <c r="I30" i="30" s="1"/>
  <c r="K29" i="30"/>
  <c r="J29" i="30"/>
  <c r="L29" i="30" s="1"/>
  <c r="H29" i="30"/>
  <c r="I29" i="30" s="1"/>
  <c r="K28" i="30"/>
  <c r="J28" i="30"/>
  <c r="L28" i="30" s="1"/>
  <c r="H28" i="30"/>
  <c r="I28" i="30" s="1"/>
  <c r="K27" i="30"/>
  <c r="J27" i="30"/>
  <c r="L27" i="30" s="1"/>
  <c r="H27" i="30"/>
  <c r="I27" i="30" s="1"/>
  <c r="K26" i="30"/>
  <c r="J26" i="30"/>
  <c r="L26" i="30" s="1"/>
  <c r="H26" i="30"/>
  <c r="I26" i="30" s="1"/>
  <c r="K25" i="30"/>
  <c r="J25" i="30"/>
  <c r="L25" i="30" s="1"/>
  <c r="H25" i="30"/>
  <c r="I25" i="30" s="1"/>
  <c r="K24" i="30"/>
  <c r="J24" i="30"/>
  <c r="L24" i="30" s="1"/>
  <c r="H24" i="30"/>
  <c r="I24" i="30" s="1"/>
  <c r="K23" i="30"/>
  <c r="J23" i="30"/>
  <c r="L23" i="30" s="1"/>
  <c r="H23" i="30"/>
  <c r="I23" i="30" s="1"/>
  <c r="K22" i="30"/>
  <c r="J22" i="30"/>
  <c r="L22" i="30" s="1"/>
  <c r="H22" i="30"/>
  <c r="I22" i="30" s="1"/>
  <c r="K21" i="30"/>
  <c r="J21" i="30"/>
  <c r="L21" i="30" s="1"/>
  <c r="H21" i="30"/>
  <c r="I21" i="30" s="1"/>
  <c r="K20" i="30"/>
  <c r="J20" i="30"/>
  <c r="L20" i="30" s="1"/>
  <c r="H20" i="30"/>
  <c r="I20" i="30" s="1"/>
  <c r="K19" i="30"/>
  <c r="J19" i="30"/>
  <c r="L19" i="30" s="1"/>
  <c r="H19" i="30"/>
  <c r="I19" i="30" s="1"/>
  <c r="K18" i="30"/>
  <c r="J18" i="30"/>
  <c r="L18" i="30" s="1"/>
  <c r="H18" i="30"/>
  <c r="I18" i="30" s="1"/>
  <c r="K17" i="30"/>
  <c r="J17" i="30"/>
  <c r="L17" i="30" s="1"/>
  <c r="H17" i="30"/>
  <c r="I17" i="30" s="1"/>
  <c r="K16" i="30"/>
  <c r="J16" i="30"/>
  <c r="L16" i="30" s="1"/>
  <c r="H16" i="30"/>
  <c r="I16" i="30" s="1"/>
  <c r="K15" i="30"/>
  <c r="J15" i="30"/>
  <c r="L15" i="30" s="1"/>
  <c r="H15" i="30"/>
  <c r="I15" i="30" s="1"/>
  <c r="K14" i="30"/>
  <c r="J14" i="30"/>
  <c r="L14" i="30" s="1"/>
  <c r="H14" i="30"/>
  <c r="I14" i="30" s="1"/>
  <c r="K13" i="30"/>
  <c r="J13" i="30"/>
  <c r="L13" i="30" s="1"/>
  <c r="H13" i="30"/>
  <c r="I13" i="30" s="1"/>
  <c r="K12" i="30"/>
  <c r="J12" i="30"/>
  <c r="L12" i="30" s="1"/>
  <c r="H12" i="30"/>
  <c r="I12" i="30" s="1"/>
  <c r="K11" i="30"/>
  <c r="J11" i="30"/>
  <c r="L11" i="30" s="1"/>
  <c r="H11" i="30"/>
  <c r="I11" i="30" s="1"/>
  <c r="K10" i="30"/>
  <c r="J10" i="30"/>
  <c r="L10" i="30" s="1"/>
  <c r="H10" i="30"/>
  <c r="I10" i="30" s="1"/>
  <c r="K9" i="30"/>
  <c r="J9" i="30"/>
  <c r="L9" i="30" s="1"/>
  <c r="H9" i="30"/>
  <c r="I9" i="30" s="1"/>
  <c r="K8" i="30"/>
  <c r="J8" i="30"/>
  <c r="L8" i="30" s="1"/>
  <c r="H8" i="30"/>
  <c r="I8" i="30" s="1"/>
  <c r="K7" i="30"/>
  <c r="J7" i="30"/>
  <c r="L7" i="30" s="1"/>
  <c r="H7" i="30"/>
  <c r="I7" i="30" s="1"/>
  <c r="K6" i="30"/>
  <c r="J6" i="30"/>
  <c r="L6" i="30" s="1"/>
  <c r="H6" i="30"/>
  <c r="I6" i="30" s="1"/>
  <c r="K5" i="30"/>
  <c r="J5" i="30"/>
  <c r="L5" i="30" s="1"/>
  <c r="H5" i="30"/>
  <c r="I5" i="30" s="1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5" i="18"/>
  <c r="H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G85" i="29"/>
  <c r="G84" i="29"/>
  <c r="G80" i="29"/>
  <c r="G79" i="29"/>
  <c r="G78" i="29"/>
  <c r="G77" i="29"/>
  <c r="G76" i="29"/>
  <c r="G72" i="29"/>
  <c r="G71" i="29"/>
  <c r="G70" i="29"/>
  <c r="E73" i="15"/>
  <c r="E78" i="15"/>
  <c r="E84" i="15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F4" i="29"/>
  <c r="F3" i="29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F39" i="27"/>
  <c r="F38" i="27"/>
  <c r="F37" i="27"/>
  <c r="F26" i="27"/>
  <c r="F48" i="27"/>
  <c r="F25" i="27"/>
  <c r="F47" i="27"/>
  <c r="F36" i="27"/>
  <c r="F24" i="27"/>
  <c r="F35" i="27"/>
  <c r="F23" i="27"/>
  <c r="F22" i="27"/>
  <c r="F21" i="27"/>
  <c r="F20" i="27"/>
  <c r="F19" i="27"/>
  <c r="F18" i="27"/>
  <c r="F46" i="27"/>
  <c r="F17" i="27"/>
  <c r="F16" i="27"/>
  <c r="F15" i="27"/>
  <c r="F14" i="27"/>
  <c r="F56" i="27"/>
  <c r="F55" i="27"/>
  <c r="F54" i="27"/>
  <c r="F53" i="27"/>
  <c r="F34" i="27"/>
  <c r="F45" i="27"/>
  <c r="F44" i="27"/>
  <c r="F43" i="27"/>
  <c r="F42" i="27"/>
  <c r="F41" i="27"/>
  <c r="F52" i="27"/>
  <c r="F51" i="27"/>
  <c r="F13" i="27"/>
  <c r="F12" i="27"/>
  <c r="F50" i="27"/>
  <c r="F33" i="27"/>
  <c r="F49" i="27"/>
  <c r="F32" i="27"/>
  <c r="F31" i="27"/>
  <c r="F30" i="27"/>
  <c r="F29" i="27"/>
  <c r="F28" i="27"/>
  <c r="F27" i="27"/>
  <c r="F11" i="27"/>
  <c r="F10" i="27"/>
  <c r="F9" i="27"/>
  <c r="F8" i="27"/>
  <c r="F7" i="27"/>
  <c r="F6" i="27"/>
  <c r="F40" i="27"/>
  <c r="F5" i="27"/>
  <c r="F4" i="27"/>
  <c r="F3" i="27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3" i="15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F4" i="26"/>
  <c r="F3" i="26"/>
  <c r="F2" i="26"/>
  <c r="RAH1901" i="24"/>
  <c r="RAG1903" i="24"/>
  <c r="RAH1904" i="24"/>
  <c r="RAI1904" i="24"/>
</calcChain>
</file>

<file path=xl/sharedStrings.xml><?xml version="1.0" encoding="utf-8"?>
<sst xmlns="http://schemas.openxmlformats.org/spreadsheetml/2006/main" count="2635" uniqueCount="490">
  <si>
    <t>Apellido y Nombre, Curso y Docente/s</t>
  </si>
  <si>
    <t>Ejemplo</t>
  </si>
  <si>
    <t>Juan Cruz Mamerto Garcia, 912-36, Armando Balcarce</t>
  </si>
  <si>
    <t>Luciano Gabriel Escalante, 912-1939, Sosa Omar</t>
  </si>
  <si>
    <t>Empezo a trabajar con el Ejercicio 2 el</t>
  </si>
  <si>
    <t>Cambios de autor del archivo</t>
  </si>
  <si>
    <t>Dato Anterior</t>
  </si>
  <si>
    <t>VENDEDOR</t>
  </si>
  <si>
    <t>CLIENTE</t>
  </si>
  <si>
    <t>FECHA</t>
  </si>
  <si>
    <t>DIA VENTA</t>
  </si>
  <si>
    <t>PRODUCTO</t>
  </si>
  <si>
    <t>CANTIDAD</t>
  </si>
  <si>
    <t>IMPORTE</t>
  </si>
  <si>
    <t>JORGE ORTIZ</t>
  </si>
  <si>
    <t>MC LONG</t>
  </si>
  <si>
    <t>VIE</t>
  </si>
  <si>
    <t>TR45</t>
  </si>
  <si>
    <t>LOPEZ</t>
  </si>
  <si>
    <t>SAB</t>
  </si>
  <si>
    <t>VT67</t>
  </si>
  <si>
    <t>LUIS NUÑEZ</t>
  </si>
  <si>
    <t>SMITH</t>
  </si>
  <si>
    <t>DOM</t>
  </si>
  <si>
    <t>SW23</t>
  </si>
  <si>
    <t>SW26</t>
  </si>
  <si>
    <t>GOMEZ</t>
  </si>
  <si>
    <t>SM26</t>
  </si>
  <si>
    <t>ANA DIAZ</t>
  </si>
  <si>
    <t>RODRIGUEZ</t>
  </si>
  <si>
    <t>JUE</t>
  </si>
  <si>
    <t>PEREZ</t>
  </si>
  <si>
    <t>MIE</t>
  </si>
  <si>
    <t>VT12</t>
  </si>
  <si>
    <t>LUN</t>
  </si>
  <si>
    <t>Suma de CANTIDAD</t>
  </si>
  <si>
    <t>Total general</t>
  </si>
  <si>
    <t>Total ANA DIAZ</t>
  </si>
  <si>
    <t>Total JORGE ORTIZ</t>
  </si>
  <si>
    <t>Total LUIS NUÑEZ</t>
  </si>
  <si>
    <t>(Todas)</t>
  </si>
  <si>
    <t>Suma de IMPORTE</t>
  </si>
  <si>
    <t>I-MMXII</t>
  </si>
  <si>
    <t xml:space="preserve">          </t>
  </si>
  <si>
    <t xml:space="preserve"> CINE POPULAR BARRIAL</t>
  </si>
  <si>
    <t>CTII-2024</t>
  </si>
  <si>
    <t>CODIGO</t>
  </si>
  <si>
    <t>PELICULA</t>
  </si>
  <si>
    <t>GENERO</t>
  </si>
  <si>
    <t>CATEGORIA</t>
  </si>
  <si>
    <t>LOCALIDADES VENDIDAS</t>
  </si>
  <si>
    <t>PRECIO LOCALIDADES</t>
  </si>
  <si>
    <t>Lo que el viento se llevó</t>
  </si>
  <si>
    <t>Clásica</t>
  </si>
  <si>
    <t>ATP</t>
  </si>
  <si>
    <t>Casa Blanca</t>
  </si>
  <si>
    <t>Blancanieves</t>
  </si>
  <si>
    <t>Infantil</t>
  </si>
  <si>
    <t>2001 Odisea del espacio</t>
  </si>
  <si>
    <t>C.Ficción</t>
  </si>
  <si>
    <t>PM16</t>
  </si>
  <si>
    <t>La guerra de las galaxias</t>
  </si>
  <si>
    <t>Robocop</t>
  </si>
  <si>
    <t>Robocop 2</t>
  </si>
  <si>
    <t>Matrix</t>
  </si>
  <si>
    <t>Matrix 2</t>
  </si>
  <si>
    <t>Matrix 3</t>
  </si>
  <si>
    <t>Rocky 1</t>
  </si>
  <si>
    <t>Acción</t>
  </si>
  <si>
    <t>PM13</t>
  </si>
  <si>
    <t>Rocky 2</t>
  </si>
  <si>
    <t>Rocky 3</t>
  </si>
  <si>
    <t>Rocky 4</t>
  </si>
  <si>
    <t>Rocky 5</t>
  </si>
  <si>
    <t>Enigma</t>
  </si>
  <si>
    <t>Suspenso</t>
  </si>
  <si>
    <t>IT</t>
  </si>
  <si>
    <t>Terror</t>
  </si>
  <si>
    <t>PM18</t>
  </si>
  <si>
    <t>ET</t>
  </si>
  <si>
    <t>La tiendita del horror</t>
  </si>
  <si>
    <t>Fantasía</t>
  </si>
  <si>
    <t>Gravedad</t>
  </si>
  <si>
    <t>La mano que...</t>
  </si>
  <si>
    <t>Los tres mosqueteros</t>
  </si>
  <si>
    <t>Aventuras</t>
  </si>
  <si>
    <t>Viven</t>
  </si>
  <si>
    <t>Testimonial</t>
  </si>
  <si>
    <t>Romero</t>
  </si>
  <si>
    <t>La noche de los lápices</t>
  </si>
  <si>
    <t>Esperando la carroza</t>
  </si>
  <si>
    <t>Comedia</t>
  </si>
  <si>
    <t>Terminator II</t>
  </si>
  <si>
    <t>Time Cop</t>
  </si>
  <si>
    <t>Caligula</t>
  </si>
  <si>
    <t>Erotica</t>
  </si>
  <si>
    <t>Emanuelle</t>
  </si>
  <si>
    <t>9 semanas y media</t>
  </si>
  <si>
    <t>Atracción fatal</t>
  </si>
  <si>
    <t>Terminator I</t>
  </si>
  <si>
    <t>El rey león</t>
  </si>
  <si>
    <t>Aladdin</t>
  </si>
  <si>
    <t>Dia de la independencia</t>
  </si>
  <si>
    <t>Flores de acero</t>
  </si>
  <si>
    <t>Drama</t>
  </si>
  <si>
    <t>Sopa de gemelas</t>
  </si>
  <si>
    <t>Despabilate amor</t>
  </si>
  <si>
    <t>Sopa de jabón</t>
  </si>
  <si>
    <t>La carta</t>
  </si>
  <si>
    <t>55 dias en Pekin</t>
  </si>
  <si>
    <t>Belica</t>
  </si>
  <si>
    <t>Sálvate si puedes</t>
  </si>
  <si>
    <t>Mi pie izquierdo</t>
  </si>
  <si>
    <t>El reina africana</t>
  </si>
  <si>
    <t>Mi vida</t>
  </si>
  <si>
    <t>El día después</t>
  </si>
  <si>
    <t>Pocahontas</t>
  </si>
  <si>
    <t>Epidemia</t>
  </si>
  <si>
    <t>El nombre de la rosa</t>
  </si>
  <si>
    <t>El bosque petrificado</t>
  </si>
  <si>
    <t>2010 el año que...</t>
  </si>
  <si>
    <t>Copycat</t>
  </si>
  <si>
    <t>Categoría</t>
  </si>
  <si>
    <t>Precio Localidades</t>
  </si>
  <si>
    <t>2.a</t>
  </si>
  <si>
    <t>CRITERIO</t>
  </si>
  <si>
    <t>Resultado:</t>
  </si>
  <si>
    <t>La pelicula es genero:</t>
  </si>
  <si>
    <t>2.b</t>
  </si>
  <si>
    <t>La cantidad de peliculas es:</t>
  </si>
  <si>
    <t>2.c</t>
  </si>
  <si>
    <t>Total de localidades vendidas</t>
  </si>
  <si>
    <t>A)</t>
  </si>
  <si>
    <t>B)</t>
  </si>
  <si>
    <t>C)</t>
  </si>
  <si>
    <t>Cuenta de PELICULA</t>
  </si>
  <si>
    <t>Promedio de LOCALIDADES VENDIDAS</t>
  </si>
  <si>
    <r>
      <rPr>
        <sz val="22"/>
        <color theme="0" tint="-4.9989318521683403E-2"/>
        <rFont val="Algerian"/>
        <family val="5"/>
      </rPr>
      <t>EMPRESA MAYORISTA BAIRES</t>
    </r>
    <r>
      <rPr>
        <sz val="22"/>
        <color theme="0" tint="-4.9989318521683403E-2"/>
        <rFont val="Arial"/>
        <family val="2"/>
      </rPr>
      <t xml:space="preserve"> - </t>
    </r>
    <r>
      <rPr>
        <i/>
        <sz val="22"/>
        <color theme="0" tint="-4.9989318521683403E-2"/>
        <rFont val="Arial"/>
        <family val="2"/>
      </rPr>
      <t xml:space="preserve">Control de Stock </t>
    </r>
  </si>
  <si>
    <t>Código</t>
  </si>
  <si>
    <t>Nombre</t>
  </si>
  <si>
    <t>Proveedor</t>
  </si>
  <si>
    <t>Cantidad por unidad</t>
  </si>
  <si>
    <t>Precio unitario</t>
  </si>
  <si>
    <t>Unidades en existencia</t>
  </si>
  <si>
    <t>Existencia crítica</t>
  </si>
  <si>
    <t>Nueva compra</t>
  </si>
  <si>
    <t>Total Bruto</t>
  </si>
  <si>
    <t>Costo Almacenamiento</t>
  </si>
  <si>
    <t>Total Neto</t>
  </si>
  <si>
    <t>Té Dharamsala</t>
  </si>
  <si>
    <t>Exotic Liquids</t>
  </si>
  <si>
    <t>Bebidas</t>
  </si>
  <si>
    <t>10 cajas x 20 bolsas</t>
  </si>
  <si>
    <t>Cerveza tibetana Barley</t>
  </si>
  <si>
    <t>24 - bot. 12 l</t>
  </si>
  <si>
    <t>Refresco Guaraná Fantástica</t>
  </si>
  <si>
    <t>Refrescos Americanas LTDA</t>
  </si>
  <si>
    <t>12 - latas 355 ml</t>
  </si>
  <si>
    <t>Cerveza Sasquatch</t>
  </si>
  <si>
    <t>Bigfoot Breweries</t>
  </si>
  <si>
    <t>Cerveza negra Steeleye</t>
  </si>
  <si>
    <t>Vino Côte de Blaye</t>
  </si>
  <si>
    <t>Aux joyeux ecclésiastiques</t>
  </si>
  <si>
    <t>12 - bot. 75 cl</t>
  </si>
  <si>
    <t>Licor verde Chartreuse</t>
  </si>
  <si>
    <t>750 cc por bot.</t>
  </si>
  <si>
    <t>Café de Malasia</t>
  </si>
  <si>
    <t>Leka Trading</t>
  </si>
  <si>
    <t>16 - latas 500 g</t>
  </si>
  <si>
    <t>Cerveza Laughing Lumberjack</t>
  </si>
  <si>
    <t>Cerveza Outback</t>
  </si>
  <si>
    <t>Pavlova, Ltd.</t>
  </si>
  <si>
    <t>24 - bot. 355 ml</t>
  </si>
  <si>
    <t>Cerveza Klosterbier Rhönbräu</t>
  </si>
  <si>
    <t>Plusspar Lebensmittelgroßmärkte AG</t>
  </si>
  <si>
    <t>24 - bot. 0,5 l</t>
  </si>
  <si>
    <t>Licor Cloudberry</t>
  </si>
  <si>
    <t>Karkki Oy</t>
  </si>
  <si>
    <t>500 ml</t>
  </si>
  <si>
    <t>Buey Mishi Kobe</t>
  </si>
  <si>
    <t>Tokyo Traders</t>
  </si>
  <si>
    <t>Carnes</t>
  </si>
  <si>
    <t>18 - paq. 500 g</t>
  </si>
  <si>
    <t>Cordero Alice Springs</t>
  </si>
  <si>
    <t>20 - latas 1 kg</t>
  </si>
  <si>
    <t>Salchicha Thüringer</t>
  </si>
  <si>
    <t>50 bolsas x 30 salch</t>
  </si>
  <si>
    <t>Empanada de carne</t>
  </si>
  <si>
    <t>G'day, Mate</t>
  </si>
  <si>
    <t>48 porc.</t>
  </si>
  <si>
    <t>Empanada de cerdo</t>
  </si>
  <si>
    <t>Ma Maison</t>
  </si>
  <si>
    <t>16 tartas</t>
  </si>
  <si>
    <t>Paté chino</t>
  </si>
  <si>
    <t>24 cajas x 2 tartas</t>
  </si>
  <si>
    <t>Sirope de regaliz</t>
  </si>
  <si>
    <t>Condimentos</t>
  </si>
  <si>
    <t>12 - bot. 550 ml</t>
  </si>
  <si>
    <t>Especias Cajun del chef Anton</t>
  </si>
  <si>
    <t>New Orleans Cajun Delights</t>
  </si>
  <si>
    <t>48 - frascos 6 l</t>
  </si>
  <si>
    <t>Mezcla Gumbo del chef Anton</t>
  </si>
  <si>
    <t>36 cajas</t>
  </si>
  <si>
    <t>Mermelada de grosellas de la abuela</t>
  </si>
  <si>
    <t>Grandma Kelly's Homestead</t>
  </si>
  <si>
    <t>12 - frascos 8 l</t>
  </si>
  <si>
    <t>Salsa de arándanos Northwoods</t>
  </si>
  <si>
    <t>12 - frascos 12 l</t>
  </si>
  <si>
    <t>Salsa de soja baja en sodio</t>
  </si>
  <si>
    <t>Mayumi's</t>
  </si>
  <si>
    <t>24 - bot. 250 ml</t>
  </si>
  <si>
    <t>Azúcar negra Malacca</t>
  </si>
  <si>
    <t>20 - bolsas 2 kg</t>
  </si>
  <si>
    <t>Sirope de arce</t>
  </si>
  <si>
    <t>Forêts d'érables</t>
  </si>
  <si>
    <t>24 - bot. 500 ml</t>
  </si>
  <si>
    <t>Sandwich de vegetales</t>
  </si>
  <si>
    <t>15 - frascos 625 g</t>
  </si>
  <si>
    <t>Salsa de pimiento picante de Luisiana</t>
  </si>
  <si>
    <t>32 - bot. 8 l</t>
  </si>
  <si>
    <t>Especias picantes de Luisiana</t>
  </si>
  <si>
    <t>24 - frascos 8 l</t>
  </si>
  <si>
    <t>Salsa verde original Frankfurter</t>
  </si>
  <si>
    <t>12 cajas</t>
  </si>
  <si>
    <t>Peras secas orgánicas del tío Bob</t>
  </si>
  <si>
    <t>Frutas/Verduras</t>
  </si>
  <si>
    <t>12 - paq. 1 kg</t>
  </si>
  <si>
    <t>Cuajada de judías</t>
  </si>
  <si>
    <t>40 - paq. 100 g</t>
  </si>
  <si>
    <t>Col fermentada Rössle</t>
  </si>
  <si>
    <t>25 - latas 825 g</t>
  </si>
  <si>
    <t>Manzanas secas Manjimup</t>
  </si>
  <si>
    <t>50 - paq. 300 g</t>
  </si>
  <si>
    <t>Queso de soja Longlife</t>
  </si>
  <si>
    <t>paq. 5 kg</t>
  </si>
  <si>
    <t>Pan de centeno crujiente estilo Gustaf's</t>
  </si>
  <si>
    <t>PB Knäckebröd AB</t>
  </si>
  <si>
    <t>Granos/Cereales</t>
  </si>
  <si>
    <t>24 - paq. 500 g</t>
  </si>
  <si>
    <t>Pan fino</t>
  </si>
  <si>
    <t>12 - paq. 250 g</t>
  </si>
  <si>
    <t>Tallarines de Singapur</t>
  </si>
  <si>
    <t>32 - 1 kg paq.</t>
  </si>
  <si>
    <t>Cereales para Filo</t>
  </si>
  <si>
    <t>16 - cajas 2 kg</t>
  </si>
  <si>
    <t>Gnocchi de la abuela Alicia</t>
  </si>
  <si>
    <t>Pasta Buttini s.r.l.</t>
  </si>
  <si>
    <t>24 - paq. 250 g</t>
  </si>
  <si>
    <t>Raviolis Angelo</t>
  </si>
  <si>
    <t>Bollos de pan de Wimmer</t>
  </si>
  <si>
    <t>20 bolsas x 4 porc.</t>
  </si>
  <si>
    <t>Queso Cabrales</t>
  </si>
  <si>
    <t>Cooperativa de Quesos 'Las Cabras'</t>
  </si>
  <si>
    <t>Lácteos</t>
  </si>
  <si>
    <t>paq. 1 kg</t>
  </si>
  <si>
    <t>Queso Manchego La Pastora</t>
  </si>
  <si>
    <t>10 - paq. 500 g</t>
  </si>
  <si>
    <t>Queso gorgonzola Telino</t>
  </si>
  <si>
    <t>Formaggi Fortini s.r.l.</t>
  </si>
  <si>
    <t>12 - paq. 100 g</t>
  </si>
  <si>
    <t>Queso Mascarpone Fabioli</t>
  </si>
  <si>
    <t>24 - paq. 200 g</t>
  </si>
  <si>
    <t>Queso de cabra</t>
  </si>
  <si>
    <t>Norske Meierier</t>
  </si>
  <si>
    <t>500 g</t>
  </si>
  <si>
    <t>Raclet de queso Courdavault</t>
  </si>
  <si>
    <t>Gai pâturage</t>
  </si>
  <si>
    <t>Camembert Pierrot</t>
  </si>
  <si>
    <t>15 - paq. 300 g</t>
  </si>
  <si>
    <t>Queso Gudbrandsdals</t>
  </si>
  <si>
    <t>paq. 10 kg</t>
  </si>
  <si>
    <t>Crema de queso Fløtemys</t>
  </si>
  <si>
    <t>Queso Mozzarella Giovanni</t>
  </si>
  <si>
    <t>Pez espada</t>
  </si>
  <si>
    <t>Pescado/Marisco</t>
  </si>
  <si>
    <t>12 - frascos 200 ml</t>
  </si>
  <si>
    <t>Algas Konbu</t>
  </si>
  <si>
    <t>caja 2 kg</t>
  </si>
  <si>
    <t>Langostinos tigre Carnarvon</t>
  </si>
  <si>
    <t>paq. 16 kg</t>
  </si>
  <si>
    <t>Arenque blanco del noroeste</t>
  </si>
  <si>
    <t>Nord-Ost-Fisch Handelsgesellschaft mbH</t>
  </si>
  <si>
    <t>10 - vasos 200 g</t>
  </si>
  <si>
    <t>Escabeche de arenque</t>
  </si>
  <si>
    <t>Svensk Sjöföda AB</t>
  </si>
  <si>
    <t>24 - frascos 250 g</t>
  </si>
  <si>
    <t>Salmón ahumado Gravad</t>
  </si>
  <si>
    <t>12 - paq. 500 g</t>
  </si>
  <si>
    <t>Carne de cangrejo de Boston</t>
  </si>
  <si>
    <t>New England Seafood Cannery</t>
  </si>
  <si>
    <t>24 - latas 4 l</t>
  </si>
  <si>
    <t>Crema de almejas estilo Nueva Inglaterra</t>
  </si>
  <si>
    <t>12 - latas 12 l</t>
  </si>
  <si>
    <t>Arenque ahumado</t>
  </si>
  <si>
    <t>Lyngbysild</t>
  </si>
  <si>
    <t>paq. 1k</t>
  </si>
  <si>
    <t>Arenque salado</t>
  </si>
  <si>
    <t>4 - vasos 450 g</t>
  </si>
  <si>
    <t>Caracoles de Borgoña</t>
  </si>
  <si>
    <t>Escargots Nouveaux</t>
  </si>
  <si>
    <t>24 porc.</t>
  </si>
  <si>
    <t>Caviar rojo</t>
  </si>
  <si>
    <t>24 - frascos150 g</t>
  </si>
  <si>
    <t>Postre de merengue Pavlova</t>
  </si>
  <si>
    <t>Repostería</t>
  </si>
  <si>
    <t>32 - cajas 500 g</t>
  </si>
  <si>
    <t>Pastas de té de chocolate</t>
  </si>
  <si>
    <t>Specialty Biscuits, Ltd.</t>
  </si>
  <si>
    <t>10 cajas x 12 piezas</t>
  </si>
  <si>
    <t>Mermelada de Sir Rodney's</t>
  </si>
  <si>
    <t>30 cajas regalo</t>
  </si>
  <si>
    <t>Bollos de Sir Rodney's</t>
  </si>
  <si>
    <t>24 paq. x 4 piezas</t>
  </si>
  <si>
    <t>Crema de chocolate y nueces NuNuCa</t>
  </si>
  <si>
    <t>Heli Süßwaren GmbH &amp; Co. KG</t>
  </si>
  <si>
    <t>20 - vasos  450 g</t>
  </si>
  <si>
    <t>Ositos de goma Gumbär</t>
  </si>
  <si>
    <t>100 - bolsas 250 g</t>
  </si>
  <si>
    <t>Chocolate Schoggi</t>
  </si>
  <si>
    <t>100 - piezas 100 g</t>
  </si>
  <si>
    <t>Galletas Zaanse</t>
  </si>
  <si>
    <t>Zaanse Snoepfabriek</t>
  </si>
  <si>
    <t>10 - cajas 4 l</t>
  </si>
  <si>
    <t>Chocolate holandés</t>
  </si>
  <si>
    <t>10 paq.</t>
  </si>
  <si>
    <t>Regaliz</t>
  </si>
  <si>
    <t>24 - paq. 50 g</t>
  </si>
  <si>
    <t>Chocolate blanco</t>
  </si>
  <si>
    <t>12 - barras 100 g</t>
  </si>
  <si>
    <t>Tarta de azúcar</t>
  </si>
  <si>
    <t>48 tartas</t>
  </si>
  <si>
    <t>Barras de pan de Escocia</t>
  </si>
  <si>
    <t>10 cajas x 8 porc.</t>
  </si>
  <si>
    <t>Costo Almacén (unitario)</t>
  </si>
  <si>
    <t>CÓDIGO</t>
  </si>
  <si>
    <t>NOMBRE</t>
  </si>
  <si>
    <t>CATEGORÍA</t>
  </si>
  <si>
    <t>Cantidad de productos de esa Categoría:</t>
  </si>
  <si>
    <t>suma el importe total neto de esa categoria</t>
  </si>
  <si>
    <t>Precio Unitario más alto de esa Categoría:</t>
  </si>
  <si>
    <t>Código más bajo de un producto en esa Categoría:</t>
  </si>
  <si>
    <t>Promedio del Total Bruto de esa Categoría:</t>
  </si>
  <si>
    <t>Suma de Total Neto</t>
  </si>
  <si>
    <r>
      <rPr>
        <b/>
        <sz val="14"/>
        <color theme="6" tint="-0.249977111117893"/>
        <rFont val="Bookman Old Style"/>
        <family val="1"/>
      </rPr>
      <t>TORNEOS</t>
    </r>
    <r>
      <rPr>
        <b/>
        <sz val="14"/>
        <color theme="7" tint="-0.249977111117893"/>
        <rFont val="Bookman Old Style"/>
        <family val="1"/>
      </rPr>
      <t xml:space="preserve"> </t>
    </r>
    <r>
      <rPr>
        <b/>
        <sz val="14"/>
        <color theme="9" tint="-0.249977111117893"/>
        <rFont val="Bookman Old Style"/>
        <family val="1"/>
      </rPr>
      <t>DEPORTIVOS</t>
    </r>
  </si>
  <si>
    <r>
      <t xml:space="preserve"> </t>
    </r>
    <r>
      <rPr>
        <b/>
        <sz val="14"/>
        <color theme="3" tint="0.39997558519241921"/>
        <rFont val="Bookman Old Style"/>
        <family val="1"/>
      </rPr>
      <t>TRIATLON</t>
    </r>
    <r>
      <rPr>
        <b/>
        <sz val="14"/>
        <color theme="7" tint="-0.249977111117893"/>
        <rFont val="Bookman Old Style"/>
        <family val="1"/>
      </rPr>
      <t xml:space="preserve"> </t>
    </r>
    <r>
      <rPr>
        <b/>
        <sz val="14"/>
        <color theme="9" tint="-0.249977111117893"/>
        <rFont val="Bookman Old Style"/>
        <family val="1"/>
      </rPr>
      <t>EN</t>
    </r>
    <r>
      <rPr>
        <b/>
        <sz val="14"/>
        <color theme="7" tint="-0.249977111117893"/>
        <rFont val="Bookman Old Style"/>
        <family val="1"/>
      </rPr>
      <t xml:space="preserve"> </t>
    </r>
    <r>
      <rPr>
        <b/>
        <sz val="14"/>
        <color theme="4" tint="-0.249977111117893"/>
        <rFont val="Bookman Old Style"/>
        <family val="1"/>
      </rPr>
      <t>LAS</t>
    </r>
    <r>
      <rPr>
        <b/>
        <sz val="14"/>
        <color theme="7" tint="-0.249977111117893"/>
        <rFont val="Bookman Old Style"/>
        <family val="1"/>
      </rPr>
      <t xml:space="preserve"> </t>
    </r>
    <r>
      <rPr>
        <b/>
        <sz val="14"/>
        <color theme="6" tint="-0.249977111117893"/>
        <rFont val="Bookman Old Style"/>
        <family val="1"/>
      </rPr>
      <t>UNIVERSIDADES</t>
    </r>
    <r>
      <rPr>
        <b/>
        <sz val="14"/>
        <color theme="7" tint="-0.249977111117893"/>
        <rFont val="Bookman Old Style"/>
        <family val="1"/>
      </rPr>
      <t xml:space="preserve"> </t>
    </r>
    <r>
      <rPr>
        <b/>
        <sz val="14"/>
        <color theme="9" tint="-0.249977111117893"/>
        <rFont val="Bookman Old Style"/>
        <family val="1"/>
      </rPr>
      <t>NACIONALES</t>
    </r>
  </si>
  <si>
    <t>MEDALLERO</t>
  </si>
  <si>
    <t>DEPORTE</t>
  </si>
  <si>
    <t>TIEMPOS PROMEDIO (en min)</t>
  </si>
  <si>
    <t>DEPORTISTAS</t>
  </si>
  <si>
    <t xml:space="preserve">UNIVERSIDADES NACIONALES </t>
  </si>
  <si>
    <t>EDAD</t>
  </si>
  <si>
    <t>ORO</t>
  </si>
  <si>
    <t>PLATA</t>
  </si>
  <si>
    <t>BRONCE</t>
  </si>
  <si>
    <t>NATACIÓN</t>
  </si>
  <si>
    <t>DEPORTISTA 1</t>
  </si>
  <si>
    <t>UNLAM</t>
  </si>
  <si>
    <t>CICLISMO</t>
  </si>
  <si>
    <t>DEPORTISTA 2</t>
  </si>
  <si>
    <t>UBA</t>
  </si>
  <si>
    <t>PEDESTRE</t>
  </si>
  <si>
    <t>DEPORTISTA 3</t>
  </si>
  <si>
    <t>DEPORTISTA 4</t>
  </si>
  <si>
    <t>UNQ</t>
  </si>
  <si>
    <t>DEPORTISTA 5</t>
  </si>
  <si>
    <t>UNLP</t>
  </si>
  <si>
    <t>DEPORTISTA 6</t>
  </si>
  <si>
    <t>UNSAM</t>
  </si>
  <si>
    <t>DEPORTISTA 7</t>
  </si>
  <si>
    <t>UTN</t>
  </si>
  <si>
    <t>DEPORTISTA 8</t>
  </si>
  <si>
    <t>DEPORTISTA 9</t>
  </si>
  <si>
    <t>DEPORTISTA 10</t>
  </si>
  <si>
    <t>DEPORTISTA 11</t>
  </si>
  <si>
    <t>DEPORTISTA 12</t>
  </si>
  <si>
    <t>DEPORTISTA 13</t>
  </si>
  <si>
    <t>DEPORTISTA 14</t>
  </si>
  <si>
    <t>DEPORTISTA 15</t>
  </si>
  <si>
    <t>UNO</t>
  </si>
  <si>
    <t>DEPORTISTA 16</t>
  </si>
  <si>
    <t>UNLU</t>
  </si>
  <si>
    <t>DEPORTISTA 17</t>
  </si>
  <si>
    <t>DEPORTISTA 18</t>
  </si>
  <si>
    <t>DEPORTISTA 19</t>
  </si>
  <si>
    <t>DEPORTISTA 20</t>
  </si>
  <si>
    <t>DEPORTISTA 21</t>
  </si>
  <si>
    <t>DEPORTISTA 22</t>
  </si>
  <si>
    <t>DEPORTISTA 23</t>
  </si>
  <si>
    <t>DEPORTISTA 24</t>
  </si>
  <si>
    <t>DEPORTISTA 25</t>
  </si>
  <si>
    <t>DEPORTISTA 26</t>
  </si>
  <si>
    <t>DEPORTISTA 27</t>
  </si>
  <si>
    <t>DEPORTISTA 28</t>
  </si>
  <si>
    <t>DEPORTISTA 29</t>
  </si>
  <si>
    <t>DEPORTISTA 30</t>
  </si>
  <si>
    <t>DEPORTISTA 31</t>
  </si>
  <si>
    <t>DEPORTISTA 32</t>
  </si>
  <si>
    <t>DEPORTISTA 33</t>
  </si>
  <si>
    <t>DEPORTISTA 34</t>
  </si>
  <si>
    <t>DEPORTISTA 35</t>
  </si>
  <si>
    <t>DEPORTISTA 36</t>
  </si>
  <si>
    <t>DEPORTISTA 37</t>
  </si>
  <si>
    <t>DEPORTISTA 38</t>
  </si>
  <si>
    <t>DEPORTISTA 39</t>
  </si>
  <si>
    <t>DEPORTISTA 40</t>
  </si>
  <si>
    <t>Total de MEDALLAS DE ORO de UNLAM, obtenida por NATACIÓN, deportistas menores de 25 años</t>
  </si>
  <si>
    <t>PROMEDIO DE EDADES de deportistas de UBA, no categoría CICLISMO con más de una MEDALLA DE PLATA</t>
  </si>
  <si>
    <t>Cuántos  deportistas  de la UNLP en categoría PEDESTRE, obtuvieron MEDALLAS DE BRONCE</t>
  </si>
  <si>
    <t>Tiempos</t>
  </si>
  <si>
    <t>¿Quién es?</t>
  </si>
  <si>
    <t>¿De dónde?</t>
  </si>
  <si>
    <t xml:space="preserve">MEJORES TIEMPOS LOGRADOS POR LOS PARTICIPANTES </t>
  </si>
  <si>
    <t>MENOR TIEMPO-1</t>
  </si>
  <si>
    <t>MIN</t>
  </si>
  <si>
    <t>MENOR TIEMPO-2</t>
  </si>
  <si>
    <t>MENOR TIEMPO-3</t>
  </si>
  <si>
    <t xml:space="preserve">PEORES TIEMPOS LOGRADOS POR LOS PARTICIPANTES </t>
  </si>
  <si>
    <t>MAYOR TIEMPO-1</t>
  </si>
  <si>
    <t>MAYOR TIEMPO-2</t>
  </si>
  <si>
    <t>MAYOR TIEMPO-3</t>
  </si>
  <si>
    <t>CTN2-2C-17</t>
  </si>
  <si>
    <t>Modelo</t>
  </si>
  <si>
    <t>Precio</t>
  </si>
  <si>
    <t>Cilindrada (cc)</t>
  </si>
  <si>
    <t>Honda CBR500R</t>
  </si>
  <si>
    <t>Yamaha YZF-R3</t>
  </si>
  <si>
    <t>Kawasaki Ninja 400</t>
  </si>
  <si>
    <t>Suzuki GSX250R</t>
  </si>
  <si>
    <t>Ducati Panigale V2</t>
  </si>
  <si>
    <t>BMW S1000RR</t>
  </si>
  <si>
    <t>KTM RC 390</t>
  </si>
  <si>
    <t>Triumph Daytona Moto2 765</t>
  </si>
  <si>
    <t>Aprilia RS 660</t>
  </si>
  <si>
    <t>MV Agusta F3 800</t>
  </si>
  <si>
    <t>Harley-Davidson Street 750</t>
  </si>
  <si>
    <t>Indian Scout Sixty</t>
  </si>
  <si>
    <t>Royal Enfield Continental GT 650</t>
  </si>
  <si>
    <t>Moto Guzzi V7 III</t>
  </si>
  <si>
    <t>Husqvarna Vitpilen 401</t>
  </si>
  <si>
    <t>Benelli TNT 300</t>
  </si>
  <si>
    <t>CFMoto 300SR</t>
  </si>
  <si>
    <t>Kymco K-Pipe 125</t>
  </si>
  <si>
    <t>SYM Wolf CR300i</t>
  </si>
  <si>
    <t>Bajaj Dominar 400</t>
  </si>
  <si>
    <t>Fecha de Operación</t>
  </si>
  <si>
    <t>Factura</t>
  </si>
  <si>
    <t>Producto</t>
  </si>
  <si>
    <t>Precio Unitario</t>
  </si>
  <si>
    <t>Cantidad</t>
  </si>
  <si>
    <t>Importe Total</t>
  </si>
  <si>
    <t>Sucursal</t>
  </si>
  <si>
    <t>0001-00223123</t>
  </si>
  <si>
    <t>Alfajor FANTOCHE Night 50g.</t>
  </si>
  <si>
    <t>Buenos Aires</t>
  </si>
  <si>
    <t>0001-00223124</t>
  </si>
  <si>
    <t>Alfajor CHOCO ARROZ Limón 22g.</t>
  </si>
  <si>
    <t>0001-00223125</t>
  </si>
  <si>
    <t xml:space="preserve">Caramelos Masticables MISKY Surtido x800g. </t>
  </si>
  <si>
    <t>0002-00003321</t>
  </si>
  <si>
    <t xml:space="preserve">Chocolate MECANO Dulce de Leche x19g. </t>
  </si>
  <si>
    <t>Rosario</t>
  </si>
  <si>
    <t>0002-00003322</t>
  </si>
  <si>
    <t>Obleas NUGATON Chocolate</t>
  </si>
  <si>
    <t>0003-00000112</t>
  </si>
  <si>
    <t>Chocolate HAMLET Bicolor x45g.</t>
  </si>
  <si>
    <t>Santiago del Estero</t>
  </si>
  <si>
    <t>0001-00223126</t>
  </si>
  <si>
    <t xml:space="preserve">Chocolate HAMLET Leche y Cookies x48g. </t>
  </si>
  <si>
    <t>0003-00000113</t>
  </si>
  <si>
    <t xml:space="preserve">Alfajor CHOCO ARROZ Marroc 22g. </t>
  </si>
  <si>
    <t>0002-00003323</t>
  </si>
  <si>
    <t xml:space="preserve">SNUKS Aritos Frutales x200g. </t>
  </si>
  <si>
    <t>0001-00223127</t>
  </si>
  <si>
    <t xml:space="preserve">Barra De Frutos Secos MUDRA Bienestar x35g. </t>
  </si>
  <si>
    <t>0003-00000114</t>
  </si>
  <si>
    <t>0002-00003324</t>
  </si>
  <si>
    <t>0003-00000115</t>
  </si>
  <si>
    <t>0003-00000116</t>
  </si>
  <si>
    <t>0003-00000117</t>
  </si>
  <si>
    <t>0001-00223128</t>
  </si>
  <si>
    <t>0002-00003325</t>
  </si>
  <si>
    <t>0001-00223129</t>
  </si>
  <si>
    <t>0001-00223130</t>
  </si>
  <si>
    <t>0002-00003326</t>
  </si>
  <si>
    <t>0002-00003327</t>
  </si>
  <si>
    <t>0002-00003328</t>
  </si>
  <si>
    <t>0001-00223131</t>
  </si>
  <si>
    <t>0001-00223132</t>
  </si>
  <si>
    <t>Cuenta de Factura</t>
  </si>
  <si>
    <t>Suma de Importe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</si>
</sst>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Pts&quot;_-;\-* #,##0.00\ &quot;Pts&quot;_-;_-* &quot;-&quot;??\ &quot;Pts&quot;_-;_-@_-"/>
    <numFmt numFmtId="165" formatCode="_-* #,##0.00\ [$€]_-;\-* #,##0.00\ [$€]_-;_-* &quot;-&quot;??\ [$€]_-;_-@_-"/>
    <numFmt numFmtId="166" formatCode="_ [$$-2C0A]\ * #,##0.00_ ;_ [$$-2C0A]\ * \-#,##0.00_ ;_ [$$-2C0A]\ * &quot;-&quot;??_ ;_ @_ "/>
    <numFmt numFmtId="167" formatCode="dd\-mm\-yy;@"/>
    <numFmt numFmtId="168" formatCode="dd/mm/yyyy\ h:mm:ss"/>
    <numFmt numFmtId="182" formatCode="_-[$$-2C0A]\ * #,##0.00_-;\-[$$-2C0A]\ * #,##0.00_-;_-[$$-2C0A]\ * &quot;-&quot;??_-;_-@_-"/>
    <numFmt numFmtId="184" formatCode="[$$-2C0A]\ #,##0.00"/>
    <numFmt numFmtId="186" formatCode="[$$-2C0A]\ #,##0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28"/>
      <name val="Algerian"/>
      <family val="5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22"/>
      <color theme="0" tint="-4.9989318521683403E-2"/>
      <name val="Arial"/>
      <family val="2"/>
    </font>
    <font>
      <sz val="22"/>
      <color theme="0" tint="-4.9989318521683403E-2"/>
      <name val="Algerian"/>
      <family val="5"/>
    </font>
    <font>
      <i/>
      <sz val="22"/>
      <color theme="0" tint="-4.9989318521683403E-2"/>
      <name val="Arial"/>
      <family val="2"/>
    </font>
    <font>
      <b/>
      <sz val="12"/>
      <color indexed="42"/>
      <name val="Arial"/>
      <family val="2"/>
    </font>
    <font>
      <b/>
      <sz val="14"/>
      <color theme="7" tint="-0.249977111117893"/>
      <name val="Bookman Old Style"/>
      <family val="1"/>
    </font>
    <font>
      <sz val="10"/>
      <name val="Arial Black"/>
      <family val="2"/>
    </font>
    <font>
      <sz val="9.5"/>
      <color rgb="FF111111"/>
      <name val="Arial"/>
      <family val="2"/>
    </font>
    <font>
      <i/>
      <sz val="10"/>
      <name val="Arial"/>
      <family val="2"/>
    </font>
    <font>
      <b/>
      <sz val="14"/>
      <color theme="6" tint="-0.249977111117893"/>
      <name val="Bookman Old Style"/>
      <family val="1"/>
    </font>
    <font>
      <b/>
      <sz val="14"/>
      <color theme="9" tint="-0.249977111117893"/>
      <name val="Bookman Old Style"/>
      <family val="1"/>
    </font>
    <font>
      <b/>
      <sz val="14"/>
      <color theme="3" tint="0.39997558519241921"/>
      <name val="Bookman Old Style"/>
      <family val="1"/>
    </font>
    <font>
      <b/>
      <sz val="14"/>
      <color theme="4" tint="-0.249977111117893"/>
      <name val="Bookman Old Style"/>
      <family val="1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</font>
    <font>
      <sz val="10"/>
      <color theme="0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4FB6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/>
      <bottom style="thin">
        <color theme="7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 style="thin">
        <color theme="7" tint="-0.24994659260841701"/>
      </top>
      <bottom style="medium">
        <color theme="7" tint="-0.24994659260841701"/>
      </bottom>
      <diagonal/>
    </border>
    <border>
      <left/>
      <right/>
      <top/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/>
      <right/>
      <top style="thick">
        <color theme="7" tint="-0.499984740745262"/>
      </top>
      <bottom style="thick">
        <color theme="7" tint="-0.499984740745262"/>
      </bottom>
      <diagonal/>
    </border>
    <border>
      <left/>
      <right/>
      <top style="thick">
        <color theme="7" tint="-0.499984740745262"/>
      </top>
      <bottom/>
      <diagonal/>
    </border>
    <border>
      <left/>
      <right style="thick">
        <color theme="7" tint="-0.499984740745262"/>
      </right>
      <top style="thick">
        <color theme="7" tint="-0.499984740745262"/>
      </top>
      <bottom/>
      <diagonal/>
    </border>
    <border>
      <left style="thick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ck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ck">
        <color theme="7" tint="-0.499984740745262"/>
      </left>
      <right/>
      <top/>
      <bottom style="thick">
        <color theme="7" tint="-0.499984740745262"/>
      </bottom>
      <diagonal/>
    </border>
    <border>
      <left/>
      <right style="thick">
        <color theme="7" tint="-0.499984740745262"/>
      </right>
      <top/>
      <bottom style="thick">
        <color theme="7" tint="-0.499984740745262"/>
      </bottom>
      <diagonal/>
    </border>
    <border>
      <left/>
      <right style="medium">
        <color rgb="FF7030A0"/>
      </right>
      <top/>
      <bottom/>
      <diagonal/>
    </border>
    <border>
      <left style="thick">
        <color theme="7" tint="-0.499984740745262"/>
      </left>
      <right/>
      <top style="thick">
        <color theme="7" tint="-0.499984740745262"/>
      </top>
      <bottom/>
      <diagonal/>
    </border>
    <border>
      <left/>
      <right style="medium">
        <color rgb="FF7030A0"/>
      </right>
      <top style="thick">
        <color theme="7" tint="-0.499984740745262"/>
      </top>
      <bottom/>
      <diagonal/>
    </border>
    <border>
      <left style="medium">
        <color rgb="FF7030A0"/>
      </left>
      <right style="thick">
        <color theme="7" tint="-0.499984740745262"/>
      </right>
      <top style="thick">
        <color theme="7" tint="-0.499984740745262"/>
      </top>
      <bottom/>
      <diagonal/>
    </border>
    <border>
      <left style="thick">
        <color theme="7" tint="-0.499984740745262"/>
      </left>
      <right/>
      <top/>
      <bottom/>
      <diagonal/>
    </border>
    <border>
      <left style="medium">
        <color rgb="FF7030A0"/>
      </left>
      <right style="thick">
        <color theme="7" tint="-0.499984740745262"/>
      </right>
      <top/>
      <bottom/>
      <diagonal/>
    </border>
    <border>
      <left/>
      <right style="medium">
        <color rgb="FF7030A0"/>
      </right>
      <top/>
      <bottom style="thick">
        <color theme="7" tint="-0.499984740745262"/>
      </bottom>
      <diagonal/>
    </border>
    <border>
      <left style="medium">
        <color rgb="FF7030A0"/>
      </left>
      <right style="thick">
        <color theme="7" tint="-0.499984740745262"/>
      </right>
      <top/>
      <bottom style="thick">
        <color theme="7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125">
    <xf numFmtId="0" fontId="0" fillId="0" borderId="0" xfId="0"/>
    <xf numFmtId="0" fontId="7" fillId="0" borderId="5" xfId="3" applyFont="1" applyBorder="1" applyAlignment="1">
      <alignment horizontal="center"/>
    </xf>
    <xf numFmtId="0" fontId="7" fillId="0" borderId="5" xfId="3" applyFont="1" applyBorder="1" applyAlignment="1">
      <alignment horizontal="left"/>
    </xf>
    <xf numFmtId="0" fontId="7" fillId="0" borderId="5" xfId="3" applyFont="1" applyBorder="1" applyAlignment="1">
      <alignment horizontal="right"/>
    </xf>
    <xf numFmtId="166" fontId="7" fillId="0" borderId="5" xfId="2" applyNumberFormat="1" applyFont="1" applyFill="1" applyBorder="1" applyAlignment="1">
      <alignment horizontal="right"/>
    </xf>
    <xf numFmtId="166" fontId="7" fillId="0" borderId="2" xfId="2" applyNumberFormat="1" applyFont="1" applyFill="1" applyBorder="1" applyAlignment="1">
      <alignment horizontal="right"/>
    </xf>
    <xf numFmtId="0" fontId="9" fillId="0" borderId="5" xfId="0" applyFont="1" applyBorder="1" applyAlignment="1">
      <alignment horizontal="center" vertical="center" textRotation="90"/>
    </xf>
    <xf numFmtId="0" fontId="0" fillId="0" borderId="5" xfId="0" applyBorder="1"/>
    <xf numFmtId="14" fontId="0" fillId="0" borderId="0" xfId="0" applyNumberFormat="1"/>
    <xf numFmtId="167" fontId="10" fillId="0" borderId="0" xfId="0" applyNumberFormat="1" applyFont="1"/>
    <xf numFmtId="0" fontId="13" fillId="3" borderId="4" xfId="0" applyFont="1" applyFill="1" applyBorder="1" applyAlignment="1">
      <alignment horizontal="left" vertical="top" wrapText="1"/>
    </xf>
    <xf numFmtId="0" fontId="13" fillId="3" borderId="4" xfId="0" applyFont="1" applyFill="1" applyBorder="1" applyAlignment="1">
      <alignment horizontal="center" vertical="top" wrapText="1"/>
    </xf>
    <xf numFmtId="0" fontId="11" fillId="4" borderId="6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top" wrapText="1"/>
    </xf>
    <xf numFmtId="166" fontId="14" fillId="3" borderId="4" xfId="0" applyNumberFormat="1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horizontal="center" vertical="top" wrapText="1"/>
    </xf>
    <xf numFmtId="0" fontId="14" fillId="3" borderId="4" xfId="0" applyFont="1" applyFill="1" applyBorder="1" applyAlignment="1">
      <alignment horizontal="center" vertical="top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9" fillId="2" borderId="5" xfId="3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wrapText="1"/>
    </xf>
    <xf numFmtId="0" fontId="5" fillId="0" borderId="0" xfId="4"/>
    <xf numFmtId="0" fontId="13" fillId="0" borderId="12" xfId="4" applyFont="1" applyBorder="1"/>
    <xf numFmtId="0" fontId="13" fillId="0" borderId="12" xfId="4" applyFont="1" applyBorder="1" applyAlignment="1">
      <alignment horizontal="center"/>
    </xf>
    <xf numFmtId="0" fontId="13" fillId="0" borderId="13" xfId="4" applyFont="1" applyBorder="1"/>
    <xf numFmtId="0" fontId="13" fillId="0" borderId="13" xfId="4" applyFont="1" applyBorder="1" applyAlignment="1">
      <alignment horizontal="center"/>
    </xf>
    <xf numFmtId="0" fontId="13" fillId="0" borderId="14" xfId="4" applyFont="1" applyBorder="1"/>
    <xf numFmtId="0" fontId="13" fillId="0" borderId="14" xfId="4" applyFont="1" applyBorder="1" applyAlignment="1">
      <alignment horizontal="center"/>
    </xf>
    <xf numFmtId="0" fontId="22" fillId="0" borderId="0" xfId="4" applyFont="1" applyAlignment="1">
      <alignment vertical="center"/>
    </xf>
    <xf numFmtId="0" fontId="12" fillId="0" borderId="0" xfId="4" applyFont="1"/>
    <xf numFmtId="0" fontId="9" fillId="0" borderId="18" xfId="4" applyFont="1" applyBorder="1" applyAlignment="1">
      <alignment horizontal="center"/>
    </xf>
    <xf numFmtId="0" fontId="23" fillId="0" borderId="18" xfId="4" applyFont="1" applyBorder="1"/>
    <xf numFmtId="0" fontId="9" fillId="0" borderId="15" xfId="4" applyFont="1" applyBorder="1" applyAlignment="1">
      <alignment horizontal="center"/>
    </xf>
    <xf numFmtId="0" fontId="23" fillId="0" borderId="15" xfId="4" applyFont="1" applyBorder="1"/>
    <xf numFmtId="0" fontId="5" fillId="0" borderId="0" xfId="4" applyAlignment="1">
      <alignment horizontal="center"/>
    </xf>
    <xf numFmtId="0" fontId="9" fillId="0" borderId="0" xfId="4" applyFont="1"/>
    <xf numFmtId="0" fontId="21" fillId="7" borderId="11" xfId="4" applyFont="1" applyFill="1" applyBorder="1" applyAlignment="1">
      <alignment horizontal="center" vertical="center"/>
    </xf>
    <xf numFmtId="0" fontId="21" fillId="7" borderId="11" xfId="4" applyFont="1" applyFill="1" applyBorder="1" applyAlignment="1">
      <alignment horizontal="center" vertical="center" wrapText="1"/>
    </xf>
    <xf numFmtId="0" fontId="21" fillId="8" borderId="16" xfId="4" applyFont="1" applyFill="1" applyBorder="1"/>
    <xf numFmtId="0" fontId="21" fillId="8" borderId="17" xfId="4" applyFont="1" applyFill="1" applyBorder="1"/>
    <xf numFmtId="0" fontId="9" fillId="8" borderId="20" xfId="4" applyFont="1" applyFill="1" applyBorder="1" applyAlignment="1">
      <alignment horizontal="center"/>
    </xf>
    <xf numFmtId="0" fontId="9" fillId="8" borderId="21" xfId="4" applyFont="1" applyFill="1" applyBorder="1" applyAlignment="1">
      <alignment horizontal="center"/>
    </xf>
    <xf numFmtId="0" fontId="23" fillId="8" borderId="21" xfId="4" applyFont="1" applyFill="1" applyBorder="1"/>
    <xf numFmtId="0" fontId="9" fillId="0" borderId="23" xfId="4" applyFont="1" applyBorder="1" applyAlignment="1">
      <alignment horizontal="center"/>
    </xf>
    <xf numFmtId="1" fontId="28" fillId="8" borderId="30" xfId="4" applyNumberFormat="1" applyFont="1" applyFill="1" applyBorder="1" applyAlignment="1">
      <alignment horizontal="center"/>
    </xf>
    <xf numFmtId="0" fontId="28" fillId="0" borderId="32" xfId="4" applyFont="1" applyBorder="1" applyAlignment="1">
      <alignment horizontal="center"/>
    </xf>
    <xf numFmtId="0" fontId="9" fillId="0" borderId="18" xfId="4" applyFont="1" applyBorder="1"/>
    <xf numFmtId="0" fontId="9" fillId="8" borderId="21" xfId="4" applyFont="1" applyFill="1" applyBorder="1"/>
    <xf numFmtId="0" fontId="9" fillId="0" borderId="15" xfId="4" applyFont="1" applyBorder="1"/>
    <xf numFmtId="0" fontId="12" fillId="0" borderId="19" xfId="4" applyFont="1" applyBorder="1"/>
    <xf numFmtId="0" fontId="12" fillId="8" borderId="22" xfId="4" applyFont="1" applyFill="1" applyBorder="1"/>
    <xf numFmtId="0" fontId="12" fillId="0" borderId="24" xfId="4" applyFont="1" applyBorder="1"/>
    <xf numFmtId="0" fontId="2" fillId="0" borderId="0" xfId="8"/>
    <xf numFmtId="0" fontId="2" fillId="10" borderId="0" xfId="8" applyFill="1" applyAlignment="1">
      <alignment horizontal="center" vertical="center"/>
    </xf>
    <xf numFmtId="0" fontId="29" fillId="0" borderId="0" xfId="8" applyFont="1"/>
    <xf numFmtId="0" fontId="2" fillId="0" borderId="0" xfId="8" applyAlignment="1">
      <alignment horizontal="center" vertical="center"/>
    </xf>
    <xf numFmtId="168" fontId="31" fillId="0" borderId="0" xfId="8" applyNumberFormat="1" applyFont="1" applyAlignment="1" applyProtection="1">
      <alignment horizont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14" fontId="31" fillId="0" borderId="0" xfId="8" applyNumberFormat="1" applyFont="1" applyAlignment="1" applyProtection="1">
      <alignment horizontal="center" vertical="center"/>
      <protection hidden="1"/>
    </xf>
    <xf numFmtId="0" fontId="31" fillId="0" borderId="0" xfId="8" applyFont="1" applyAlignment="1" applyProtection="1">
      <alignment horizontal="center" vertical="center"/>
      <protection hidden="1"/>
    </xf>
    <xf numFmtId="0" fontId="1" fillId="0" borderId="0" xfId="9" applyAlignment="1">
      <alignment horizontal="center"/>
    </xf>
    <xf numFmtId="14" fontId="1" fillId="0" borderId="5" xfId="9" applyNumberFormat="1" applyBorder="1" applyAlignment="1">
      <alignment horizontal="center"/>
    </xf>
    <xf numFmtId="0" fontId="1" fillId="0" borderId="5" xfId="9" applyBorder="1" applyAlignment="1">
      <alignment horizontal="center"/>
    </xf>
    <xf numFmtId="2" fontId="1" fillId="0" borderId="5" xfId="9" applyNumberFormat="1" applyBorder="1" applyAlignment="1">
      <alignment horizontal="center"/>
    </xf>
    <xf numFmtId="0" fontId="32" fillId="6" borderId="5" xfId="9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0" xfId="8" applyAlignment="1" applyProtection="1">
      <alignment horizontal="center" vertical="top" wrapText="1"/>
      <protection hidden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2" fillId="0" borderId="15" xfId="4" applyFont="1" applyBorder="1" applyAlignment="1">
      <alignment horizontal="center"/>
    </xf>
    <xf numFmtId="0" fontId="20" fillId="0" borderId="0" xfId="4" applyFont="1" applyAlignment="1">
      <alignment horizontal="center"/>
    </xf>
    <xf numFmtId="0" fontId="21" fillId="6" borderId="8" xfId="4" applyFont="1" applyFill="1" applyBorder="1" applyAlignment="1">
      <alignment horizontal="center" vertical="center"/>
    </xf>
    <xf numFmtId="0" fontId="21" fillId="6" borderId="9" xfId="4" applyFont="1" applyFill="1" applyBorder="1" applyAlignment="1">
      <alignment horizontal="center" vertical="center"/>
    </xf>
    <xf numFmtId="0" fontId="21" fillId="6" borderId="10" xfId="4" applyFont="1" applyFill="1" applyBorder="1" applyAlignment="1">
      <alignment horizontal="center" vertical="center"/>
    </xf>
    <xf numFmtId="0" fontId="15" fillId="0" borderId="26" xfId="4" applyFont="1" applyBorder="1" applyAlignment="1">
      <alignment horizontal="center"/>
    </xf>
    <xf numFmtId="0" fontId="15" fillId="0" borderId="18" xfId="4" applyFont="1" applyBorder="1" applyAlignment="1">
      <alignment horizontal="center"/>
    </xf>
    <xf numFmtId="0" fontId="15" fillId="0" borderId="27" xfId="4" applyFont="1" applyBorder="1" applyAlignment="1">
      <alignment horizontal="center"/>
    </xf>
    <xf numFmtId="0" fontId="15" fillId="8" borderId="29" xfId="4" applyFont="1" applyFill="1" applyBorder="1" applyAlignment="1">
      <alignment horizontal="center"/>
    </xf>
    <xf numFmtId="0" fontId="15" fillId="8" borderId="0" xfId="4" applyFont="1" applyFill="1" applyAlignment="1">
      <alignment horizontal="center"/>
    </xf>
    <xf numFmtId="0" fontId="15" fillId="8" borderId="25" xfId="4" applyFont="1" applyFill="1" applyBorder="1" applyAlignment="1">
      <alignment horizontal="center"/>
    </xf>
    <xf numFmtId="0" fontId="15" fillId="0" borderId="23" xfId="4" applyFont="1" applyBorder="1" applyAlignment="1">
      <alignment horizontal="center"/>
    </xf>
    <xf numFmtId="0" fontId="15" fillId="0" borderId="15" xfId="4" applyFont="1" applyBorder="1" applyAlignment="1">
      <alignment horizontal="center"/>
    </xf>
    <xf numFmtId="0" fontId="15" fillId="0" borderId="31" xfId="4" applyFon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2" fontId="0" fillId="0" borderId="0" xfId="0" pivotButton="1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8" fontId="0" fillId="12" borderId="0" xfId="0" applyNumberFormat="1" applyFill="1"/>
    <xf numFmtId="0" fontId="0" fillId="12" borderId="0" xfId="0" applyFill="1"/>
    <xf numFmtId="0" fontId="0" fillId="12" borderId="0" xfId="0" applyFill="1" applyAlignment="1"/>
    <xf numFmtId="0" fontId="33" fillId="12" borderId="0" xfId="0" applyFont="1" applyFill="1"/>
    <xf numFmtId="0" fontId="33" fillId="12" borderId="0" xfId="0" applyFont="1" applyFill="1" applyAlignment="1">
      <alignment wrapText="1"/>
    </xf>
    <xf numFmtId="0" fontId="33" fillId="12" borderId="33" xfId="0" applyFont="1" applyFill="1" applyBorder="1"/>
    <xf numFmtId="1" fontId="7" fillId="0" borderId="5" xfId="3" applyNumberFormat="1" applyFont="1" applyBorder="1" applyAlignment="1">
      <alignment horizontal="right"/>
    </xf>
    <xf numFmtId="182" fontId="0" fillId="0" borderId="5" xfId="2" applyNumberFormat="1" applyFont="1" applyBorder="1" applyAlignment="1"/>
    <xf numFmtId="184" fontId="0" fillId="0" borderId="5" xfId="2" applyNumberFormat="1" applyFont="1" applyBorder="1" applyAlignment="1"/>
    <xf numFmtId="186" fontId="0" fillId="0" borderId="0" xfId="0" applyNumberFormat="1"/>
    <xf numFmtId="184" fontId="0" fillId="0" borderId="0" xfId="0" applyNumberFormat="1"/>
    <xf numFmtId="0" fontId="34" fillId="13" borderId="0" xfId="0" applyFont="1" applyFill="1"/>
    <xf numFmtId="184" fontId="34" fillId="13" borderId="0" xfId="0" applyNumberFormat="1" applyFont="1" applyFill="1"/>
    <xf numFmtId="0" fontId="28" fillId="0" borderId="28" xfId="4" applyFont="1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2" fillId="6" borderId="36" xfId="9" applyFont="1" applyFill="1" applyBorder="1" applyAlignment="1">
      <alignment horizontal="center" vertical="center"/>
    </xf>
    <xf numFmtId="0" fontId="32" fillId="6" borderId="37" xfId="9" applyFont="1" applyFill="1" applyBorder="1" applyAlignment="1">
      <alignment horizontal="center" vertical="center"/>
    </xf>
    <xf numFmtId="0" fontId="32" fillId="6" borderId="38" xfId="9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30" fillId="9" borderId="35" xfId="8" applyFont="1" applyFill="1" applyBorder="1" applyAlignment="1">
      <alignment horizontal="center"/>
    </xf>
    <xf numFmtId="0" fontId="30" fillId="9" borderId="42" xfId="8" applyFont="1" applyFill="1" applyBorder="1" applyAlignment="1">
      <alignment horizontal="center"/>
    </xf>
    <xf numFmtId="0" fontId="30" fillId="9" borderId="34" xfId="8" applyFont="1" applyFill="1" applyBorder="1" applyAlignment="1">
      <alignment horizontal="center"/>
    </xf>
    <xf numFmtId="0" fontId="30" fillId="11" borderId="35" xfId="8" applyFont="1" applyFill="1" applyBorder="1" applyAlignment="1" applyProtection="1">
      <alignment horizontal="center" vertical="center" wrapText="1"/>
      <protection locked="0"/>
    </xf>
    <xf numFmtId="0" fontId="30" fillId="11" borderId="42" xfId="8" applyFont="1" applyFill="1" applyBorder="1" applyAlignment="1" applyProtection="1">
      <alignment horizontal="center" vertical="center" wrapText="1"/>
      <protection locked="0"/>
    </xf>
    <xf numFmtId="0" fontId="30" fillId="11" borderId="34" xfId="8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14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center"/>
    </xf>
  </cellXfs>
  <cellStyles count="10">
    <cellStyle name="Euro" xfId="1" xr:uid="{00000000-0005-0000-0000-000000000000}"/>
    <cellStyle name="Moneda" xfId="2" builtinId="4"/>
    <cellStyle name="Normal" xfId="0" builtinId="0"/>
    <cellStyle name="Normal 2" xfId="4" xr:uid="{00000000-0005-0000-0000-000003000000}"/>
    <cellStyle name="Normal 2 2" xfId="6" xr:uid="{6C7CAA7B-AB6C-42D2-9B43-14050672CD7B}"/>
    <cellStyle name="Normal 2 3" xfId="7" xr:uid="{98C87E46-818F-483A-83E8-267F7034C27F}"/>
    <cellStyle name="Normal 2 4" xfId="8" xr:uid="{9B2D83D3-4297-42B9-A6D3-78A23B7EF606}"/>
    <cellStyle name="Normal 3" xfId="9" xr:uid="{81DE4A1D-59E1-440D-894A-51A7D5554EF3}"/>
    <cellStyle name="Normal_Hoja1" xfId="3" xr:uid="{00000000-0005-0000-0000-000004000000}"/>
    <cellStyle name="Porcentaje 2" xfId="5" xr:uid="{00000000-0005-0000-0000-000005000000}"/>
  </cellStyles>
  <dxfs count="3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</dxf>
    <dxf>
      <font>
        <b/>
        <i val="0"/>
        <color theme="1"/>
      </font>
    </dxf>
    <dxf>
      <font>
        <b/>
        <i val="0"/>
        <color theme="0"/>
      </font>
    </dxf>
    <dxf>
      <font>
        <b/>
        <i val="0"/>
        <color theme="1"/>
      </font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1" tint="0.249977111117893"/>
        </patternFill>
      </fill>
    </dxf>
    <dxf>
      <fill>
        <patternFill patternType="solid">
          <fgColor indexed="64"/>
          <bgColor theme="1" tint="0.249977111117893"/>
        </patternFill>
      </fill>
    </dxf>
    <dxf>
      <fill>
        <patternFill patternType="solid">
          <fgColor indexed="64"/>
          <bgColor theme="1" tint="0.249977111117893"/>
        </patternFill>
      </fill>
    </dxf>
    <dxf>
      <fill>
        <patternFill patternType="solid">
          <fgColor indexed="64"/>
          <bgColor theme="1" tint="0.249977111117893"/>
        </patternFill>
      </fill>
    </dxf>
    <dxf>
      <font>
        <color theme="0"/>
      </font>
    </dxf>
    <dxf>
      <font>
        <color theme="0"/>
      </font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9" defaultPivotStyle="PivotStyleLight16"/>
  <colors>
    <mruColors>
      <color rgb="FFB4FB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[2-4-P-TP6-Excel-Oblig-Nivel II-Ver25-2.xlsx]Ejercicio 1!TablaDinámica4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1'!$B$90:$B$91</c:f>
              <c:strCache>
                <c:ptCount val="1"/>
                <c:pt idx="0">
                  <c:v>ANA DIAZ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'Ejercicio 1'!$A$92:$A$103</c:f>
              <c:strCache>
                <c:ptCount val="11"/>
                <c:pt idx="0">
                  <c:v>03/05/2017</c:v>
                </c:pt>
                <c:pt idx="1">
                  <c:v>04/05/2017</c:v>
                </c:pt>
                <c:pt idx="2">
                  <c:v>05/05/2017</c:v>
                </c:pt>
                <c:pt idx="3">
                  <c:v>08/05/2017</c:v>
                </c:pt>
                <c:pt idx="4">
                  <c:v>10/05/2017</c:v>
                </c:pt>
                <c:pt idx="5">
                  <c:v>12/05/2017</c:v>
                </c:pt>
                <c:pt idx="6">
                  <c:v>13/05/2017</c:v>
                </c:pt>
                <c:pt idx="7">
                  <c:v>15/05/2017</c:v>
                </c:pt>
                <c:pt idx="8">
                  <c:v>16/05/2017</c:v>
                </c:pt>
                <c:pt idx="9">
                  <c:v>17/05/2017</c:v>
                </c:pt>
                <c:pt idx="10">
                  <c:v>20/05/2017</c:v>
                </c:pt>
              </c:strCache>
            </c:strRef>
          </c:cat>
          <c:val>
            <c:numRef>
              <c:f>'Ejercicio 1'!$B$92:$B$103</c:f>
              <c:numCache>
                <c:formatCode>General</c:formatCode>
                <c:ptCount val="11"/>
                <c:pt idx="5">
                  <c:v>12587</c:v>
                </c:pt>
                <c:pt idx="8">
                  <c:v>10487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E-4B57-B0BA-20044737B013}"/>
            </c:ext>
          </c:extLst>
        </c:ser>
        <c:ser>
          <c:idx val="1"/>
          <c:order val="1"/>
          <c:tx>
            <c:strRef>
              <c:f>'Ejercicio 1'!$C$90:$C$91</c:f>
              <c:strCache>
                <c:ptCount val="1"/>
                <c:pt idx="0">
                  <c:v>JORGE ORTIZ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'Ejercicio 1'!$A$92:$A$103</c:f>
              <c:strCache>
                <c:ptCount val="11"/>
                <c:pt idx="0">
                  <c:v>03/05/2017</c:v>
                </c:pt>
                <c:pt idx="1">
                  <c:v>04/05/2017</c:v>
                </c:pt>
                <c:pt idx="2">
                  <c:v>05/05/2017</c:v>
                </c:pt>
                <c:pt idx="3">
                  <c:v>08/05/2017</c:v>
                </c:pt>
                <c:pt idx="4">
                  <c:v>10/05/2017</c:v>
                </c:pt>
                <c:pt idx="5">
                  <c:v>12/05/2017</c:v>
                </c:pt>
                <c:pt idx="6">
                  <c:v>13/05/2017</c:v>
                </c:pt>
                <c:pt idx="7">
                  <c:v>15/05/2017</c:v>
                </c:pt>
                <c:pt idx="8">
                  <c:v>16/05/2017</c:v>
                </c:pt>
                <c:pt idx="9">
                  <c:v>17/05/2017</c:v>
                </c:pt>
                <c:pt idx="10">
                  <c:v>20/05/2017</c:v>
                </c:pt>
              </c:strCache>
            </c:strRef>
          </c:cat>
          <c:val>
            <c:numRef>
              <c:f>'Ejercicio 1'!$C$92:$C$103</c:f>
              <c:numCache>
                <c:formatCode>General</c:formatCode>
                <c:ptCount val="11"/>
                <c:pt idx="0">
                  <c:v>5200</c:v>
                </c:pt>
                <c:pt idx="1">
                  <c:v>6400</c:v>
                </c:pt>
                <c:pt idx="2">
                  <c:v>2700</c:v>
                </c:pt>
                <c:pt idx="3">
                  <c:v>1500</c:v>
                </c:pt>
                <c:pt idx="4">
                  <c:v>9820</c:v>
                </c:pt>
                <c:pt idx="5">
                  <c:v>7890</c:v>
                </c:pt>
                <c:pt idx="6">
                  <c:v>12202</c:v>
                </c:pt>
                <c:pt idx="7">
                  <c:v>26878</c:v>
                </c:pt>
                <c:pt idx="9">
                  <c:v>17925</c:v>
                </c:pt>
                <c:pt idx="10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CAE-4B57-B0BA-20044737B013}"/>
            </c:ext>
          </c:extLst>
        </c:ser>
        <c:ser>
          <c:idx val="2"/>
          <c:order val="2"/>
          <c:tx>
            <c:strRef>
              <c:f>'Ejercicio 1'!$D$90:$D$91</c:f>
              <c:strCache>
                <c:ptCount val="1"/>
                <c:pt idx="0">
                  <c:v>LUIS NUÑEZ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'Ejercicio 1'!$A$92:$A$103</c:f>
              <c:strCache>
                <c:ptCount val="11"/>
                <c:pt idx="0">
                  <c:v>03/05/2017</c:v>
                </c:pt>
                <c:pt idx="1">
                  <c:v>04/05/2017</c:v>
                </c:pt>
                <c:pt idx="2">
                  <c:v>05/05/2017</c:v>
                </c:pt>
                <c:pt idx="3">
                  <c:v>08/05/2017</c:v>
                </c:pt>
                <c:pt idx="4">
                  <c:v>10/05/2017</c:v>
                </c:pt>
                <c:pt idx="5">
                  <c:v>12/05/2017</c:v>
                </c:pt>
                <c:pt idx="6">
                  <c:v>13/05/2017</c:v>
                </c:pt>
                <c:pt idx="7">
                  <c:v>15/05/2017</c:v>
                </c:pt>
                <c:pt idx="8">
                  <c:v>16/05/2017</c:v>
                </c:pt>
                <c:pt idx="9">
                  <c:v>17/05/2017</c:v>
                </c:pt>
                <c:pt idx="10">
                  <c:v>20/05/2017</c:v>
                </c:pt>
              </c:strCache>
            </c:strRef>
          </c:cat>
          <c:val>
            <c:numRef>
              <c:f>'Ejercicio 1'!$D$92:$D$103</c:f>
              <c:numCache>
                <c:formatCode>General</c:formatCode>
                <c:ptCount val="11"/>
                <c:pt idx="2">
                  <c:v>7200</c:v>
                </c:pt>
                <c:pt idx="3">
                  <c:v>5590</c:v>
                </c:pt>
                <c:pt idx="6">
                  <c:v>10047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CAE-4B57-B0BA-20044737B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154504"/>
        <c:axId val="906156552"/>
      </c:barChart>
      <c:catAx>
        <c:axId val="90615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56552"/>
        <c:crosses val="autoZero"/>
        <c:auto val="1"/>
        <c:lblAlgn val="ctr"/>
        <c:lblOffset val="100"/>
        <c:noMultiLvlLbl val="0"/>
      </c:catAx>
      <c:valAx>
        <c:axId val="90615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5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[2-4-P-TP6-Excel-Oblig-Nivel II-Ver25-2.xlsx]Ejercicio 3.2!TablaDinámica7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neto vendido por proveedor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3.2'!$C$99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'Ejercicio 3.2'!$B$100:$B$129</c:f>
              <c:strCache>
                <c:ptCount val="29"/>
                <c:pt idx="0">
                  <c:v>Aux joyeux ecclésiastiques</c:v>
                </c:pt>
                <c:pt idx="1">
                  <c:v>Bigfoot Breweries</c:v>
                </c:pt>
                <c:pt idx="2">
                  <c:v>Cooperativa de Quesos 'Las Cabras'</c:v>
                </c:pt>
                <c:pt idx="3">
                  <c:v>Escargots Nouveaux</c:v>
                </c:pt>
                <c:pt idx="4">
                  <c:v>Exotic Liquids</c:v>
                </c:pt>
                <c:pt idx="5">
                  <c:v>Forêts d'érables</c:v>
                </c:pt>
                <c:pt idx="6">
                  <c:v>Formaggi Fortini s.r.l.</c:v>
                </c:pt>
                <c:pt idx="7">
                  <c:v>Gai pâturage</c:v>
                </c:pt>
                <c:pt idx="8">
                  <c:v>G'day, Mate</c:v>
                </c:pt>
                <c:pt idx="9">
                  <c:v>Grandma Kelly's Homestead</c:v>
                </c:pt>
                <c:pt idx="10">
                  <c:v>Heli Süßwaren GmbH &amp; Co. KG</c:v>
                </c:pt>
                <c:pt idx="11">
                  <c:v>Karkki Oy</c:v>
                </c:pt>
                <c:pt idx="12">
                  <c:v>Leka Trading</c:v>
                </c:pt>
                <c:pt idx="13">
                  <c:v>Lyngbysild</c:v>
                </c:pt>
                <c:pt idx="14">
                  <c:v>Ma Maison</c:v>
                </c:pt>
                <c:pt idx="15">
                  <c:v>Mayumi's</c:v>
                </c:pt>
                <c:pt idx="16">
                  <c:v>New England Seafood Cannery</c:v>
                </c:pt>
                <c:pt idx="17">
                  <c:v>New Orleans Cajun Delights</c:v>
                </c:pt>
                <c:pt idx="18">
                  <c:v>Nord-Ost-Fisch Handelsgesellschaft mbH</c:v>
                </c:pt>
                <c:pt idx="19">
                  <c:v>Norske Meierier</c:v>
                </c:pt>
                <c:pt idx="20">
                  <c:v>Pasta Buttini s.r.l.</c:v>
                </c:pt>
                <c:pt idx="21">
                  <c:v>Pavlova, Ltd.</c:v>
                </c:pt>
                <c:pt idx="22">
                  <c:v>PB Knäckebröd AB</c:v>
                </c:pt>
                <c:pt idx="23">
                  <c:v>Plusspar Lebensmittelgroßmärkte AG</c:v>
                </c:pt>
                <c:pt idx="24">
                  <c:v>Refrescos Americanas LTDA</c:v>
                </c:pt>
                <c:pt idx="25">
                  <c:v>Specialty Biscuits, Ltd.</c:v>
                </c:pt>
                <c:pt idx="26">
                  <c:v>Svensk Sjöföda AB</c:v>
                </c:pt>
                <c:pt idx="27">
                  <c:v>Tokyo Traders</c:v>
                </c:pt>
                <c:pt idx="28">
                  <c:v>Zaanse Snoepfabriek</c:v>
                </c:pt>
              </c:strCache>
            </c:strRef>
          </c:cat>
          <c:val>
            <c:numRef>
              <c:f>'Ejercicio 3.2'!$C$100:$C$129</c:f>
              <c:numCache>
                <c:formatCode>[$$-2C0A]\ #,##0.00</c:formatCode>
                <c:ptCount val="29"/>
                <c:pt idx="0">
                  <c:v>5807.5</c:v>
                </c:pt>
                <c:pt idx="1">
                  <c:v>2825</c:v>
                </c:pt>
                <c:pt idx="2">
                  <c:v>4270</c:v>
                </c:pt>
                <c:pt idx="3">
                  <c:v>1131.5</c:v>
                </c:pt>
                <c:pt idx="4">
                  <c:v>1224</c:v>
                </c:pt>
                <c:pt idx="5">
                  <c:v>4205.6000000000004</c:v>
                </c:pt>
                <c:pt idx="6">
                  <c:v>890.19999999999993</c:v>
                </c:pt>
                <c:pt idx="7">
                  <c:v>5481</c:v>
                </c:pt>
                <c:pt idx="8">
                  <c:v>1540</c:v>
                </c:pt>
                <c:pt idx="9">
                  <c:v>3891</c:v>
                </c:pt>
                <c:pt idx="10">
                  <c:v>3963.55</c:v>
                </c:pt>
                <c:pt idx="11">
                  <c:v>2489.25</c:v>
                </c:pt>
                <c:pt idx="12">
                  <c:v>1793.15</c:v>
                </c:pt>
                <c:pt idx="13">
                  <c:v>1687.5</c:v>
                </c:pt>
                <c:pt idx="14">
                  <c:v>3596.45</c:v>
                </c:pt>
                <c:pt idx="15">
                  <c:v>1896.25</c:v>
                </c:pt>
                <c:pt idx="16">
                  <c:v>4123.45</c:v>
                </c:pt>
                <c:pt idx="17">
                  <c:v>2966.8</c:v>
                </c:pt>
                <c:pt idx="18">
                  <c:v>308.89999999999998</c:v>
                </c:pt>
                <c:pt idx="19">
                  <c:v>2595</c:v>
                </c:pt>
                <c:pt idx="20">
                  <c:v>1671</c:v>
                </c:pt>
                <c:pt idx="21">
                  <c:v>4716.6500000000005</c:v>
                </c:pt>
                <c:pt idx="22">
                  <c:v>3228</c:v>
                </c:pt>
                <c:pt idx="23">
                  <c:v>3654.8500000000004</c:v>
                </c:pt>
                <c:pt idx="24">
                  <c:v>275</c:v>
                </c:pt>
                <c:pt idx="25">
                  <c:v>3723</c:v>
                </c:pt>
                <c:pt idx="26">
                  <c:v>5049</c:v>
                </c:pt>
                <c:pt idx="27">
                  <c:v>4134</c:v>
                </c:pt>
                <c:pt idx="28">
                  <c:v>635.25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5-4EF5-9414-C3D8A02F9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514503"/>
        <c:axId val="849520135"/>
      </c:barChart>
      <c:catAx>
        <c:axId val="849514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20135"/>
        <c:crosses val="autoZero"/>
        <c:auto val="1"/>
        <c:lblAlgn val="ctr"/>
        <c:lblOffset val="100"/>
        <c:noMultiLvlLbl val="0"/>
      </c:catAx>
      <c:valAx>
        <c:axId val="849520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14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104</xdr:row>
      <xdr:rowOff>47625</xdr:rowOff>
    </xdr:from>
    <xdr:to>
      <xdr:col>8</xdr:col>
      <xdr:colOff>609600</xdr:colOff>
      <xdr:row>122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66817F-47CF-A36E-2545-29B3D7A63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1143000</xdr:colOff>
      <xdr:row>0</xdr:row>
      <xdr:rowOff>923925</xdr:rowOff>
    </xdr:to>
    <xdr:pic>
      <xdr:nvPicPr>
        <xdr:cNvPr id="13" name="12 Imagen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971675" cy="9239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2</xdr:col>
      <xdr:colOff>609600</xdr:colOff>
      <xdr:row>0</xdr:row>
      <xdr:rowOff>1266825</xdr:rowOff>
    </xdr:to>
    <xdr:pic>
      <xdr:nvPicPr>
        <xdr:cNvPr id="2" name="12 Imagen">
          <a:extLst>
            <a:ext uri="{FF2B5EF4-FFF2-40B4-BE49-F238E27FC236}">
              <a16:creationId xmlns:a16="http://schemas.microsoft.com/office/drawing/2014/main" id="{1133C7B0-560C-40B2-AA6C-BF72E289A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686050" cy="12668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2</xdr:col>
      <xdr:colOff>95250</xdr:colOff>
      <xdr:row>0</xdr:row>
      <xdr:rowOff>1266825</xdr:rowOff>
    </xdr:to>
    <xdr:pic>
      <xdr:nvPicPr>
        <xdr:cNvPr id="2" name="12 Imagen">
          <a:extLst>
            <a:ext uri="{FF2B5EF4-FFF2-40B4-BE49-F238E27FC236}">
              <a16:creationId xmlns:a16="http://schemas.microsoft.com/office/drawing/2014/main" id="{B4CDB2AB-E1A0-4E13-9CC7-C86B5E472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686050" cy="12668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1857375</xdr:colOff>
      <xdr:row>0</xdr:row>
      <xdr:rowOff>1266825</xdr:rowOff>
    </xdr:to>
    <xdr:pic>
      <xdr:nvPicPr>
        <xdr:cNvPr id="2" name="12 Imagen">
          <a:extLst>
            <a:ext uri="{FF2B5EF4-FFF2-40B4-BE49-F238E27FC236}">
              <a16:creationId xmlns:a16="http://schemas.microsoft.com/office/drawing/2014/main" id="{5A0231EF-3F2B-436D-BE91-51E73C341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686050" cy="12668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1504950</xdr:colOff>
      <xdr:row>133</xdr:row>
      <xdr:rowOff>85725</xdr:rowOff>
    </xdr:from>
    <xdr:to>
      <xdr:col>7</xdr:col>
      <xdr:colOff>533400</xdr:colOff>
      <xdr:row>150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44B7F9-FC35-AD93-5D60-0783B418A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19051</xdr:rowOff>
    </xdr:from>
    <xdr:to>
      <xdr:col>1</xdr:col>
      <xdr:colOff>85725</xdr:colOff>
      <xdr:row>5</xdr:row>
      <xdr:rowOff>266701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1"/>
          <a:ext cx="1571624" cy="12001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1419225</xdr:colOff>
      <xdr:row>60</xdr:row>
      <xdr:rowOff>47625</xdr:rowOff>
    </xdr:from>
    <xdr:to>
      <xdr:col>3</xdr:col>
      <xdr:colOff>19312</xdr:colOff>
      <xdr:row>62</xdr:row>
      <xdr:rowOff>171450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11849100"/>
          <a:ext cx="800362" cy="676275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1323974</xdr:colOff>
      <xdr:row>65</xdr:row>
      <xdr:rowOff>47625</xdr:rowOff>
    </xdr:from>
    <xdr:to>
      <xdr:col>2</xdr:col>
      <xdr:colOff>2171700</xdr:colOff>
      <xdr:row>67</xdr:row>
      <xdr:rowOff>211470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3990974" y="13230225"/>
          <a:ext cx="847726" cy="716295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285750</xdr:colOff>
      <xdr:row>7</xdr:row>
      <xdr:rowOff>19050</xdr:rowOff>
    </xdr:from>
    <xdr:to>
      <xdr:col>10</xdr:col>
      <xdr:colOff>371475</xdr:colOff>
      <xdr:row>34</xdr:row>
      <xdr:rowOff>123825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4" name="Precio">
              <a:extLst>
                <a:ext uri="{FF2B5EF4-FFF2-40B4-BE49-F238E27FC236}">
                  <a16:creationId xmlns:a16="http://schemas.microsoft.com/office/drawing/2014/main" id="{282BF6AD-3262-C334-947E-E6306454B9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c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0325" y="542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12</xdr:col>
      <xdr:colOff>304800</xdr:colOff>
      <xdr:row>22</xdr:row>
      <xdr:rowOff>28575</xdr:rowOff>
    </xdr:from>
    <xdr:to>
      <xdr:col>15</xdr:col>
      <xdr:colOff>390525</xdr:colOff>
      <xdr:row>36</xdr:row>
      <xdr:rowOff>133350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5" name="Cilindrada (cc)">
              <a:extLst>
                <a:ext uri="{FF2B5EF4-FFF2-40B4-BE49-F238E27FC236}">
                  <a16:creationId xmlns:a16="http://schemas.microsoft.com/office/drawing/2014/main" id="{E952BB54-E0BF-8762-0709-02C0428FD993}"/>
                </a:ext>
                <a:ext uri="{147F2762-F138-4A5C-976F-8EAC2B608ADB}">
                  <a16:predDERef xmlns:a16="http://schemas.microsoft.com/office/drawing/2014/main" pred="{282BF6AD-3262-C334-947E-E6306454B9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lindrada (cc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0" y="914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771525</xdr:colOff>
      <xdr:row>38</xdr:row>
      <xdr:rowOff>28575</xdr:rowOff>
    </xdr:from>
    <xdr:to>
      <xdr:col>9</xdr:col>
      <xdr:colOff>323850</xdr:colOff>
      <xdr:row>52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o">
              <a:extLst>
                <a:ext uri="{FF2B5EF4-FFF2-40B4-BE49-F238E27FC236}">
                  <a16:creationId xmlns:a16="http://schemas.microsoft.com/office/drawing/2014/main" id="{2D7B4541-F9E8-B9F9-76B0-CFA29CD1FA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62875" y="7067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466725</xdr:colOff>
      <xdr:row>39</xdr:row>
      <xdr:rowOff>19050</xdr:rowOff>
    </xdr:from>
    <xdr:to>
      <xdr:col>6</xdr:col>
      <xdr:colOff>809625</xdr:colOff>
      <xdr:row>52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cursal">
              <a:extLst>
                <a:ext uri="{FF2B5EF4-FFF2-40B4-BE49-F238E27FC236}">
                  <a16:creationId xmlns:a16="http://schemas.microsoft.com/office/drawing/2014/main" id="{3117C0D3-58A9-778C-0CBC-55FE8FCED74B}"/>
                </a:ext>
                <a:ext uri="{147F2762-F138-4A5C-976F-8EAC2B608ADB}">
                  <a16:predDERef xmlns:a16="http://schemas.microsoft.com/office/drawing/2014/main" pred="{2D7B4541-F9E8-B9F9-76B0-CFA29CD1FA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72175" y="7239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776607638887" createdVersion="8" refreshedVersion="8" minRefreshableVersion="3" recordCount="25" xr:uid="{E00BBD81-14F8-43ED-9804-CC1B9102AFEE}">
  <cacheSource type="worksheet">
    <worksheetSource ref="A3:G28" sheet="Ejercicio 1"/>
  </cacheSource>
  <cacheFields count="7">
    <cacheField name="VENDEDOR" numFmtId="0">
      <sharedItems count="3">
        <s v="JORGE ORTIZ"/>
        <s v="LUIS NUÑEZ"/>
        <s v="ANA DIAZ"/>
      </sharedItems>
    </cacheField>
    <cacheField name="CLIENTE" numFmtId="0">
      <sharedItems count="6">
        <s v="MC LONG"/>
        <s v="LOPEZ"/>
        <s v="SMITH"/>
        <s v="GOMEZ"/>
        <s v="RODRIGUEZ"/>
        <s v="PEREZ"/>
      </sharedItems>
    </cacheField>
    <cacheField name="FECHA" numFmtId="14">
      <sharedItems containsSemiMixedTypes="0" containsNonDate="0" containsDate="1" containsString="0" minDate="2017-05-03T00:00:00" maxDate="2017-05-21T00:00:00" count="11">
        <d v="2017-05-03T00:00:00"/>
        <d v="2017-05-04T00:00:00"/>
        <d v="2017-05-05T00:00:00"/>
        <d v="2017-05-10T00:00:00"/>
        <d v="2017-05-16T00:00:00"/>
        <d v="2017-05-12T00:00:00"/>
        <d v="2017-05-08T00:00:00"/>
        <d v="2017-05-13T00:00:00"/>
        <d v="2017-05-20T00:00:00"/>
        <d v="2017-05-15T00:00:00"/>
        <d v="2017-05-17T00:00:00"/>
      </sharedItems>
    </cacheField>
    <cacheField name="DIA VENTA" numFmtId="0">
      <sharedItems/>
    </cacheField>
    <cacheField name="PRODUCTO" numFmtId="0">
      <sharedItems count="6">
        <s v="TR45"/>
        <s v="VT67"/>
        <s v="SW23"/>
        <s v="SW26"/>
        <s v="SM26"/>
        <s v="VT12"/>
      </sharedItems>
    </cacheField>
    <cacheField name="CANTIDAD" numFmtId="0">
      <sharedItems containsSemiMixedTypes="0" containsString="0" containsNumber="1" containsInteger="1" minValue="12" maxValue="65" count="14">
        <n v="12"/>
        <n v="23"/>
        <n v="32"/>
        <n v="43"/>
        <n v="44"/>
        <n v="33"/>
        <n v="26"/>
        <n v="29"/>
        <n v="54"/>
        <n v="22"/>
        <n v="65"/>
        <n v="34"/>
        <n v="45"/>
        <n v="27"/>
      </sharedItems>
    </cacheField>
    <cacheField name="IMPORTE" numFmtId="0">
      <sharedItems containsSemiMixedTypes="0" containsString="0" containsNumber="1" containsInteger="1" minValue="1100" maxValue="17925" count="23">
        <n v="5200"/>
        <n v="6400"/>
        <n v="2600"/>
        <n v="1500"/>
        <n v="2700"/>
        <n v="3400"/>
        <n v="6500"/>
        <n v="8600"/>
        <n v="3100"/>
        <n v="3700"/>
        <n v="2640"/>
        <n v="3780"/>
        <n v="1890"/>
        <n v="1100"/>
        <n v="3450"/>
        <n v="7890"/>
        <n v="3987"/>
        <n v="8905"/>
        <n v="8947"/>
        <n v="3297"/>
        <n v="14008"/>
        <n v="12870"/>
        <n v="179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807551736114" createdVersion="8" refreshedVersion="8" minRefreshableVersion="3" recordCount="54" xr:uid="{FCBF6758-5C7A-43E3-8E2D-050DAD75649C}">
  <cacheSource type="worksheet">
    <worksheetSource ref="A2:F56" sheet="Ejercicio 2 .2"/>
  </cacheSource>
  <cacheFields count="6">
    <cacheField name="CODIGO" numFmtId="0">
      <sharedItems containsSemiMixedTypes="0" containsString="0" containsNumber="1" containsInteger="1" minValue="1" maxValue="54"/>
    </cacheField>
    <cacheField name="PELICULA" numFmtId="0">
      <sharedItems/>
    </cacheField>
    <cacheField name="GENERO" numFmtId="0">
      <sharedItems count="12">
        <s v="Clásica"/>
        <s v="Infantil"/>
        <s v="C.Ficción"/>
        <s v="Acción"/>
        <s v="Suspenso"/>
        <s v="Terror"/>
        <s v="Aventuras"/>
        <s v="Testimonial"/>
        <s v="Comedia"/>
        <s v="Erotica"/>
        <s v="Drama"/>
        <s v="Belica"/>
      </sharedItems>
    </cacheField>
    <cacheField name="CATEGORIA" numFmtId="0">
      <sharedItems count="4">
        <s v="ATP"/>
        <s v="PM16"/>
        <s v="PM13"/>
        <s v="PM18"/>
      </sharedItems>
    </cacheField>
    <cacheField name="LOCALIDADES VENDIDAS" numFmtId="0">
      <sharedItems containsSemiMixedTypes="0" containsString="0" containsNumber="1" containsInteger="1" minValue="12" maxValue="72" count="26">
        <n v="22"/>
        <n v="27"/>
        <n v="35"/>
        <n v="40"/>
        <n v="45"/>
        <n v="50"/>
        <n v="52"/>
        <n v="70"/>
        <n v="55"/>
        <n v="72"/>
        <n v="68"/>
        <n v="56"/>
        <n v="63"/>
        <n v="15"/>
        <n v="23"/>
        <n v="12"/>
        <n v="32"/>
        <n v="34"/>
        <n v="67"/>
        <n v="54"/>
        <n v="65"/>
        <n v="28"/>
        <n v="30"/>
        <n v="43"/>
        <n v="38"/>
        <n v="37"/>
      </sharedItems>
    </cacheField>
    <cacheField name="PRECIO LOCALIDADES" numFmtId="0">
      <sharedItems containsSemiMixedTypes="0" containsString="0" containsNumber="1" containsInteger="1" minValue="3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835675347225" createdVersion="8" refreshedVersion="8" minRefreshableVersion="3" recordCount="77" xr:uid="{5EF00EFD-7280-4C4F-8221-B98BB49E9811}">
  <cacheSource type="worksheet">
    <worksheetSource ref="A4:L81" sheet="Ejercicio 3.2"/>
  </cacheSource>
  <cacheFields count="12">
    <cacheField name="Código" numFmtId="0">
      <sharedItems containsSemiMixedTypes="0" containsString="0" containsNumber="1" containsInteger="1" minValue="1" maxValue="77"/>
    </cacheField>
    <cacheField name="Nombre" numFmtId="0">
      <sharedItems/>
    </cacheField>
    <cacheField name="Proveedor" numFmtId="0">
      <sharedItems count="29">
        <s v="Exotic Liquids"/>
        <s v="Refrescos Americanas LTDA"/>
        <s v="Bigfoot Breweries"/>
        <s v="Aux joyeux ecclésiastiques"/>
        <s v="Leka Trading"/>
        <s v="Pavlova, Ltd."/>
        <s v="Plusspar Lebensmittelgroßmärkte AG"/>
        <s v="Karkki Oy"/>
        <s v="Tokyo Traders"/>
        <s v="G'day, Mate"/>
        <s v="Ma Maison"/>
        <s v="New Orleans Cajun Delights"/>
        <s v="Grandma Kelly's Homestead"/>
        <s v="Mayumi's"/>
        <s v="Forêts d'érables"/>
        <s v="PB Knäckebröd AB"/>
        <s v="Pasta Buttini s.r.l."/>
        <s v="Cooperativa de Quesos 'Las Cabras'"/>
        <s v="Formaggi Fortini s.r.l."/>
        <s v="Norske Meierier"/>
        <s v="Gai pâturage"/>
        <s v="Nord-Ost-Fisch Handelsgesellschaft mbH"/>
        <s v="Svensk Sjöföda AB"/>
        <s v="New England Seafood Cannery"/>
        <s v="Lyngbysild"/>
        <s v="Escargots Nouveaux"/>
        <s v="Specialty Biscuits, Ltd."/>
        <s v="Heli Süßwaren GmbH &amp; Co. KG"/>
        <s v="Zaanse Snoepfabriek"/>
      </sharedItems>
    </cacheField>
    <cacheField name="Categoría" numFmtId="0">
      <sharedItems/>
    </cacheField>
    <cacheField name="Cantidad por unidad" numFmtId="0">
      <sharedItems/>
    </cacheField>
    <cacheField name="Precio unitario" numFmtId="166">
      <sharedItems containsSemiMixedTypes="0" containsString="0" containsNumber="1" minValue="2.5" maxValue="263.5"/>
    </cacheField>
    <cacheField name="Unidades en existencia" numFmtId="0">
      <sharedItems containsSemiMixedTypes="0" containsString="0" containsNumber="1" containsInteger="1" minValue="0" maxValue="125"/>
    </cacheField>
    <cacheField name="Existencia crítica" numFmtId="0">
      <sharedItems containsSemiMixedTypes="0" containsString="0" containsNumber="1" containsInteger="1" minValue="5" maxValue="25"/>
    </cacheField>
    <cacheField name="Nueva compra" numFmtId="1">
      <sharedItems containsSemiMixedTypes="0" containsString="0" containsNumber="1" minValue="0" maxValue="467.50000000000006"/>
    </cacheField>
    <cacheField name="Total Bruto" numFmtId="182">
      <sharedItems containsSemiMixedTypes="0" containsString="0" containsNumber="1" minValue="0" maxValue="4479.5"/>
    </cacheField>
    <cacheField name="Costo Almacenamiento" numFmtId="184">
      <sharedItems containsSemiMixedTypes="0" containsString="0" containsNumber="1" containsInteger="1" minValue="0" maxValue="615"/>
    </cacheField>
    <cacheField name="Total Neto" numFmtId="184">
      <sharedItems containsSemiMixedTypes="0" containsString="0" containsNumber="1" minValue="0" maxValue="4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852732291663" createdVersion="8" refreshedVersion="8" minRefreshableVersion="3" recordCount="25" xr:uid="{80EAE4C8-1264-4A10-B9B5-F1516A612C0F}">
  <cacheSource type="worksheet">
    <worksheetSource ref="A1:G26" sheet="Ejercicio 6"/>
  </cacheSource>
  <cacheFields count="7">
    <cacheField name="Fecha de Operación" numFmtId="14">
      <sharedItems containsSemiMixedTypes="0" containsNonDate="0" containsDate="1" containsString="0" minDate="2024-12-01T00:00:00" maxDate="2024-12-15T00:00:00"/>
    </cacheField>
    <cacheField name="Factura" numFmtId="0">
      <sharedItems/>
    </cacheField>
    <cacheField name="Producto" numFmtId="0">
      <sharedItems count="10">
        <s v="Alfajor FANTOCHE Night 50g."/>
        <s v="Alfajor CHOCO ARROZ Limón 22g."/>
        <s v="Caramelos Masticables MISKY Surtido x800g. "/>
        <s v="Chocolate MECANO Dulce de Leche x19g. "/>
        <s v="Obleas NUGATON Chocolate"/>
        <s v="Chocolate HAMLET Bicolor x45g."/>
        <s v="Chocolate HAMLET Leche y Cookies x48g. "/>
        <s v="Alfajor CHOCO ARROZ Marroc 22g. "/>
        <s v="SNUKS Aritos Frutales x200g. "/>
        <s v="Barra De Frutos Secos MUDRA Bienestar x35g. "/>
      </sharedItems>
    </cacheField>
    <cacheField name="Precio Unitario" numFmtId="0">
      <sharedItems containsSemiMixedTypes="0" containsString="0" containsNumber="1" minValue="360.43" maxValue="4419.38"/>
    </cacheField>
    <cacheField name="Cantidad" numFmtId="0">
      <sharedItems containsSemiMixedTypes="0" containsString="0" containsNumber="1" containsInteger="1" minValue="5" maxValue="50"/>
    </cacheField>
    <cacheField name="Importe Total" numFmtId="2">
      <sharedItems containsSemiMixedTypes="0" containsString="0" containsNumber="1" minValue="2283.8000000000002" maxValue="47344.200000000004"/>
    </cacheField>
    <cacheField name="Sucursal" numFmtId="0">
      <sharedItems count="3">
        <s v="Buenos Aires"/>
        <s v="Rosario"/>
        <s v="Santiago del Estero"/>
      </sharedItems>
    </cacheField>
  </cacheFields>
  <extLst>
    <ext xmlns:x14="http://schemas.microsoft.com/office/spreadsheetml/2009/9/main" uri="{725AE2AE-9491-48be-B2B4-4EB974FC3084}">
      <x14:pivotCacheDefinition pivotCacheId="864188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s v="VIE"/>
    <x v="0"/>
    <x v="0"/>
    <x v="0"/>
  </r>
  <r>
    <x v="0"/>
    <x v="1"/>
    <x v="1"/>
    <s v="SAB"/>
    <x v="1"/>
    <x v="1"/>
    <x v="1"/>
  </r>
  <r>
    <x v="1"/>
    <x v="2"/>
    <x v="2"/>
    <s v="DOM"/>
    <x v="2"/>
    <x v="0"/>
    <x v="2"/>
  </r>
  <r>
    <x v="1"/>
    <x v="2"/>
    <x v="2"/>
    <s v="DOM"/>
    <x v="3"/>
    <x v="2"/>
    <x v="3"/>
  </r>
  <r>
    <x v="0"/>
    <x v="3"/>
    <x v="2"/>
    <s v="DOM"/>
    <x v="0"/>
    <x v="3"/>
    <x v="4"/>
  </r>
  <r>
    <x v="0"/>
    <x v="0"/>
    <x v="3"/>
    <s v="VIE"/>
    <x v="4"/>
    <x v="4"/>
    <x v="5"/>
  </r>
  <r>
    <x v="2"/>
    <x v="4"/>
    <x v="4"/>
    <s v="JUE"/>
    <x v="0"/>
    <x v="5"/>
    <x v="6"/>
  </r>
  <r>
    <x v="2"/>
    <x v="5"/>
    <x v="5"/>
    <s v="DOM"/>
    <x v="4"/>
    <x v="6"/>
    <x v="7"/>
  </r>
  <r>
    <x v="1"/>
    <x v="2"/>
    <x v="2"/>
    <s v="DOM"/>
    <x v="3"/>
    <x v="7"/>
    <x v="8"/>
  </r>
  <r>
    <x v="1"/>
    <x v="2"/>
    <x v="6"/>
    <s v="MIE"/>
    <x v="2"/>
    <x v="0"/>
    <x v="9"/>
  </r>
  <r>
    <x v="0"/>
    <x v="0"/>
    <x v="6"/>
    <s v="MIE"/>
    <x v="5"/>
    <x v="8"/>
    <x v="3"/>
  </r>
  <r>
    <x v="0"/>
    <x v="0"/>
    <x v="3"/>
    <s v="VIE"/>
    <x v="4"/>
    <x v="2"/>
    <x v="10"/>
  </r>
  <r>
    <x v="0"/>
    <x v="1"/>
    <x v="3"/>
    <s v="VIE"/>
    <x v="0"/>
    <x v="9"/>
    <x v="11"/>
  </r>
  <r>
    <x v="1"/>
    <x v="2"/>
    <x v="6"/>
    <s v="MIE"/>
    <x v="2"/>
    <x v="0"/>
    <x v="12"/>
  </r>
  <r>
    <x v="1"/>
    <x v="2"/>
    <x v="7"/>
    <s v="LUN"/>
    <x v="0"/>
    <x v="10"/>
    <x v="13"/>
  </r>
  <r>
    <x v="0"/>
    <x v="1"/>
    <x v="8"/>
    <s v="LUN"/>
    <x v="5"/>
    <x v="5"/>
    <x v="14"/>
  </r>
  <r>
    <x v="0"/>
    <x v="3"/>
    <x v="5"/>
    <s v="DOM"/>
    <x v="0"/>
    <x v="1"/>
    <x v="15"/>
  </r>
  <r>
    <x v="2"/>
    <x v="4"/>
    <x v="5"/>
    <s v="DOM"/>
    <x v="2"/>
    <x v="3"/>
    <x v="16"/>
  </r>
  <r>
    <x v="0"/>
    <x v="0"/>
    <x v="7"/>
    <s v="LUN"/>
    <x v="3"/>
    <x v="11"/>
    <x v="17"/>
  </r>
  <r>
    <x v="1"/>
    <x v="2"/>
    <x v="7"/>
    <s v="LUN"/>
    <x v="0"/>
    <x v="10"/>
    <x v="18"/>
  </r>
  <r>
    <x v="0"/>
    <x v="0"/>
    <x v="7"/>
    <s v="LUN"/>
    <x v="0"/>
    <x v="12"/>
    <x v="19"/>
  </r>
  <r>
    <x v="0"/>
    <x v="0"/>
    <x v="9"/>
    <s v="MIE"/>
    <x v="2"/>
    <x v="11"/>
    <x v="20"/>
  </r>
  <r>
    <x v="0"/>
    <x v="0"/>
    <x v="9"/>
    <s v="MIE"/>
    <x v="3"/>
    <x v="1"/>
    <x v="21"/>
  </r>
  <r>
    <x v="2"/>
    <x v="4"/>
    <x v="4"/>
    <s v="JUE"/>
    <x v="0"/>
    <x v="13"/>
    <x v="16"/>
  </r>
  <r>
    <x v="0"/>
    <x v="0"/>
    <x v="10"/>
    <s v="VIE"/>
    <x v="5"/>
    <x v="0"/>
    <x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s v="Lo que el viento se llevó"/>
    <x v="0"/>
    <x v="0"/>
    <x v="0"/>
    <n v="35"/>
  </r>
  <r>
    <n v="2"/>
    <s v="Casa Blanca"/>
    <x v="0"/>
    <x v="0"/>
    <x v="1"/>
    <n v="35"/>
  </r>
  <r>
    <n v="3"/>
    <s v="Blancanieves"/>
    <x v="1"/>
    <x v="0"/>
    <x v="2"/>
    <n v="35"/>
  </r>
  <r>
    <n v="4"/>
    <s v="2001 Odisea del espacio"/>
    <x v="2"/>
    <x v="1"/>
    <x v="3"/>
    <n v="42"/>
  </r>
  <r>
    <n v="5"/>
    <s v="La guerra de las galaxias"/>
    <x v="2"/>
    <x v="0"/>
    <x v="4"/>
    <n v="35"/>
  </r>
  <r>
    <n v="6"/>
    <s v="Robocop"/>
    <x v="2"/>
    <x v="0"/>
    <x v="5"/>
    <n v="35"/>
  </r>
  <r>
    <n v="7"/>
    <s v="Robocop 2"/>
    <x v="2"/>
    <x v="0"/>
    <x v="6"/>
    <n v="35"/>
  </r>
  <r>
    <n v="8"/>
    <s v="Matrix"/>
    <x v="2"/>
    <x v="0"/>
    <x v="7"/>
    <n v="35"/>
  </r>
  <r>
    <n v="9"/>
    <s v="Matrix 2"/>
    <x v="2"/>
    <x v="0"/>
    <x v="7"/>
    <n v="35"/>
  </r>
  <r>
    <n v="10"/>
    <s v="Matrix 3"/>
    <x v="2"/>
    <x v="0"/>
    <x v="8"/>
    <n v="35"/>
  </r>
  <r>
    <n v="11"/>
    <s v="Rocky 1"/>
    <x v="3"/>
    <x v="2"/>
    <x v="7"/>
    <n v="39"/>
  </r>
  <r>
    <n v="12"/>
    <s v="Rocky 2"/>
    <x v="3"/>
    <x v="2"/>
    <x v="9"/>
    <n v="39"/>
  </r>
  <r>
    <n v="13"/>
    <s v="Rocky 3"/>
    <x v="3"/>
    <x v="2"/>
    <x v="10"/>
    <n v="39"/>
  </r>
  <r>
    <n v="14"/>
    <s v="Rocky 4"/>
    <x v="3"/>
    <x v="2"/>
    <x v="11"/>
    <n v="39"/>
  </r>
  <r>
    <n v="15"/>
    <s v="Rocky 5"/>
    <x v="3"/>
    <x v="2"/>
    <x v="12"/>
    <n v="39"/>
  </r>
  <r>
    <n v="16"/>
    <s v="Enigma"/>
    <x v="4"/>
    <x v="2"/>
    <x v="13"/>
    <n v="39"/>
  </r>
  <r>
    <n v="17"/>
    <s v="IT"/>
    <x v="5"/>
    <x v="3"/>
    <x v="2"/>
    <n v="45"/>
  </r>
  <r>
    <n v="18"/>
    <s v="ET"/>
    <x v="2"/>
    <x v="2"/>
    <x v="5"/>
    <n v="39"/>
  </r>
  <r>
    <n v="19"/>
    <s v="La tiendita del horror"/>
    <x v="5"/>
    <x v="3"/>
    <x v="14"/>
    <n v="45"/>
  </r>
  <r>
    <n v="20"/>
    <s v="Fantasía"/>
    <x v="2"/>
    <x v="0"/>
    <x v="4"/>
    <n v="35"/>
  </r>
  <r>
    <n v="21"/>
    <s v="Gravedad"/>
    <x v="2"/>
    <x v="0"/>
    <x v="4"/>
    <n v="35"/>
  </r>
  <r>
    <n v="22"/>
    <s v="La mano que..."/>
    <x v="4"/>
    <x v="3"/>
    <x v="15"/>
    <n v="45"/>
  </r>
  <r>
    <n v="23"/>
    <s v="Los tres mosqueteros"/>
    <x v="6"/>
    <x v="3"/>
    <x v="0"/>
    <n v="45"/>
  </r>
  <r>
    <n v="24"/>
    <s v="Viven"/>
    <x v="7"/>
    <x v="1"/>
    <x v="16"/>
    <n v="42"/>
  </r>
  <r>
    <n v="25"/>
    <s v="Romero"/>
    <x v="7"/>
    <x v="1"/>
    <x v="17"/>
    <n v="42"/>
  </r>
  <r>
    <n v="26"/>
    <s v="La noche de los lápices"/>
    <x v="7"/>
    <x v="1"/>
    <x v="7"/>
    <n v="42"/>
  </r>
  <r>
    <n v="27"/>
    <s v="Esperando la carroza"/>
    <x v="8"/>
    <x v="1"/>
    <x v="18"/>
    <n v="42"/>
  </r>
  <r>
    <n v="28"/>
    <s v="Terminator II"/>
    <x v="2"/>
    <x v="1"/>
    <x v="4"/>
    <n v="42"/>
  </r>
  <r>
    <n v="29"/>
    <s v="Time Cop"/>
    <x v="2"/>
    <x v="2"/>
    <x v="17"/>
    <n v="39"/>
  </r>
  <r>
    <n v="30"/>
    <s v="Caligula"/>
    <x v="9"/>
    <x v="3"/>
    <x v="14"/>
    <n v="45"/>
  </r>
  <r>
    <n v="31"/>
    <s v="Emanuelle"/>
    <x v="9"/>
    <x v="3"/>
    <x v="0"/>
    <n v="45"/>
  </r>
  <r>
    <n v="32"/>
    <s v="9 semanas y media"/>
    <x v="9"/>
    <x v="3"/>
    <x v="19"/>
    <n v="45"/>
  </r>
  <r>
    <n v="33"/>
    <s v="Atracción fatal"/>
    <x v="4"/>
    <x v="3"/>
    <x v="19"/>
    <n v="45"/>
  </r>
  <r>
    <n v="34"/>
    <s v="Terminator I"/>
    <x v="2"/>
    <x v="0"/>
    <x v="4"/>
    <n v="35"/>
  </r>
  <r>
    <n v="35"/>
    <s v="El rey león"/>
    <x v="1"/>
    <x v="0"/>
    <x v="18"/>
    <n v="35"/>
  </r>
  <r>
    <n v="36"/>
    <s v="Aladdin"/>
    <x v="1"/>
    <x v="0"/>
    <x v="18"/>
    <n v="35"/>
  </r>
  <r>
    <n v="37"/>
    <s v="Dia de la independencia"/>
    <x v="2"/>
    <x v="0"/>
    <x v="4"/>
    <n v="35"/>
  </r>
  <r>
    <n v="38"/>
    <s v="Flores de acero"/>
    <x v="10"/>
    <x v="1"/>
    <x v="20"/>
    <n v="42"/>
  </r>
  <r>
    <n v="39"/>
    <s v="Sopa de gemelas"/>
    <x v="8"/>
    <x v="0"/>
    <x v="6"/>
    <n v="35"/>
  </r>
  <r>
    <n v="40"/>
    <s v="Despabilate amor"/>
    <x v="8"/>
    <x v="0"/>
    <x v="5"/>
    <n v="35"/>
  </r>
  <r>
    <n v="41"/>
    <s v="Sopa de jabón"/>
    <x v="8"/>
    <x v="0"/>
    <x v="21"/>
    <n v="35"/>
  </r>
  <r>
    <n v="42"/>
    <s v="La carta"/>
    <x v="10"/>
    <x v="0"/>
    <x v="22"/>
    <n v="35"/>
  </r>
  <r>
    <n v="43"/>
    <s v="55 dias en Pekin"/>
    <x v="11"/>
    <x v="0"/>
    <x v="20"/>
    <n v="35"/>
  </r>
  <r>
    <n v="44"/>
    <s v="Sálvate si puedes"/>
    <x v="8"/>
    <x v="0"/>
    <x v="17"/>
    <n v="35"/>
  </r>
  <r>
    <n v="45"/>
    <s v="Mi pie izquierdo"/>
    <x v="10"/>
    <x v="2"/>
    <x v="5"/>
    <n v="39"/>
  </r>
  <r>
    <n v="46"/>
    <s v="El reina africana"/>
    <x v="10"/>
    <x v="0"/>
    <x v="17"/>
    <n v="35"/>
  </r>
  <r>
    <n v="47"/>
    <s v="Mi vida"/>
    <x v="10"/>
    <x v="2"/>
    <x v="23"/>
    <n v="39"/>
  </r>
  <r>
    <n v="48"/>
    <s v="El día después"/>
    <x v="10"/>
    <x v="1"/>
    <x v="4"/>
    <n v="42"/>
  </r>
  <r>
    <n v="49"/>
    <s v="Pocahontas"/>
    <x v="1"/>
    <x v="0"/>
    <x v="4"/>
    <n v="35"/>
  </r>
  <r>
    <n v="50"/>
    <s v="Epidemia"/>
    <x v="10"/>
    <x v="1"/>
    <x v="24"/>
    <n v="42"/>
  </r>
  <r>
    <n v="51"/>
    <s v="El nombre de la rosa"/>
    <x v="4"/>
    <x v="0"/>
    <x v="25"/>
    <n v="35"/>
  </r>
  <r>
    <n v="52"/>
    <s v="El bosque petrificado"/>
    <x v="10"/>
    <x v="2"/>
    <x v="23"/>
    <n v="39"/>
  </r>
  <r>
    <n v="53"/>
    <s v="2010 el año que..."/>
    <x v="2"/>
    <x v="2"/>
    <x v="17"/>
    <n v="39"/>
  </r>
  <r>
    <n v="54"/>
    <s v="Copycat"/>
    <x v="4"/>
    <x v="2"/>
    <x v="22"/>
    <n v="3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1"/>
    <s v="Té Dharamsala"/>
    <x v="0"/>
    <s v="Bebidas"/>
    <s v="10 cajas x 20 bolsas"/>
    <n v="18"/>
    <n v="39"/>
    <n v="10"/>
    <n v="0"/>
    <n v="702"/>
    <n v="39"/>
    <n v="741"/>
  </r>
  <r>
    <n v="2"/>
    <s v="Cerveza tibetana Barley"/>
    <x v="0"/>
    <s v="Bebidas"/>
    <s v="24 - bot. 12 l"/>
    <n v="19"/>
    <n v="17"/>
    <n v="10"/>
    <n v="0"/>
    <n v="323"/>
    <n v="17"/>
    <n v="340"/>
  </r>
  <r>
    <n v="24"/>
    <s v="Refresco Guaraná Fantástica"/>
    <x v="1"/>
    <s v="Bebidas"/>
    <s v="12 - latas 355 ml"/>
    <n v="4.5"/>
    <n v="50"/>
    <n v="10"/>
    <n v="0"/>
    <n v="225"/>
    <n v="50"/>
    <n v="275"/>
  </r>
  <r>
    <n v="34"/>
    <s v="Cerveza Sasquatch"/>
    <x v="2"/>
    <s v="Bebidas"/>
    <s v="24 - bot. 12 l"/>
    <n v="14"/>
    <n v="111"/>
    <n v="10"/>
    <n v="0"/>
    <n v="1554"/>
    <n v="111"/>
    <n v="1665"/>
  </r>
  <r>
    <n v="35"/>
    <s v="Cerveza negra Steeleye"/>
    <x v="2"/>
    <s v="Bebidas"/>
    <s v="24 - bot. 12 l"/>
    <n v="18"/>
    <n v="20"/>
    <n v="10"/>
    <n v="0"/>
    <n v="360"/>
    <n v="20"/>
    <n v="380"/>
  </r>
  <r>
    <n v="38"/>
    <s v="Vino Côte de Blaye"/>
    <x v="3"/>
    <s v="Bebidas"/>
    <s v="12 - bot. 75 cl"/>
    <n v="263.5"/>
    <n v="17"/>
    <n v="10"/>
    <n v="0"/>
    <n v="4479.5"/>
    <n v="17"/>
    <n v="4496.5"/>
  </r>
  <r>
    <n v="39"/>
    <s v="Licor verde Chartreuse"/>
    <x v="3"/>
    <s v="Bebidas"/>
    <s v="750 cc por bot."/>
    <n v="18"/>
    <n v="69"/>
    <n v="10"/>
    <n v="0"/>
    <n v="1242"/>
    <n v="69"/>
    <n v="1311"/>
  </r>
  <r>
    <n v="43"/>
    <s v="Café de Malasia"/>
    <x v="4"/>
    <s v="Bebidas"/>
    <s v="16 - latas 500 g"/>
    <n v="46"/>
    <n v="17"/>
    <n v="10"/>
    <n v="0"/>
    <n v="782"/>
    <n v="17"/>
    <n v="799"/>
  </r>
  <r>
    <n v="67"/>
    <s v="Cerveza Laughing Lumberjack"/>
    <x v="2"/>
    <s v="Bebidas"/>
    <s v="24 - bot. 12 l"/>
    <n v="14"/>
    <n v="52"/>
    <n v="10"/>
    <n v="0"/>
    <n v="728"/>
    <n v="52"/>
    <n v="780"/>
  </r>
  <r>
    <n v="70"/>
    <s v="Cerveza Outback"/>
    <x v="5"/>
    <s v="Bebidas"/>
    <s v="24 - bot. 355 ml"/>
    <n v="15"/>
    <n v="15"/>
    <n v="10"/>
    <n v="0"/>
    <n v="225"/>
    <n v="15"/>
    <n v="240"/>
  </r>
  <r>
    <n v="75"/>
    <s v="Cerveza Klosterbier Rhönbräu"/>
    <x v="6"/>
    <s v="Bebidas"/>
    <s v="24 - bot. 0,5 l"/>
    <n v="7.75"/>
    <n v="125"/>
    <n v="10"/>
    <n v="0"/>
    <n v="968.75"/>
    <n v="125"/>
    <n v="1093.75"/>
  </r>
  <r>
    <n v="76"/>
    <s v="Licor Cloudberry"/>
    <x v="7"/>
    <s v="Bebidas"/>
    <s v="500 ml"/>
    <n v="18"/>
    <n v="57"/>
    <n v="10"/>
    <n v="0"/>
    <n v="1026"/>
    <n v="57"/>
    <n v="1083"/>
  </r>
  <r>
    <n v="9"/>
    <s v="Buey Mishi Kobe"/>
    <x v="8"/>
    <s v="Carnes"/>
    <s v="18 - paq. 500 g"/>
    <n v="97"/>
    <n v="29"/>
    <n v="20"/>
    <n v="0"/>
    <n v="2813"/>
    <n v="145"/>
    <n v="2958"/>
  </r>
  <r>
    <n v="17"/>
    <s v="Cordero Alice Springs"/>
    <x v="5"/>
    <s v="Carnes"/>
    <s v="20 - latas 1 kg"/>
    <n v="39"/>
    <n v="0"/>
    <n v="20"/>
    <n v="60"/>
    <n v="0"/>
    <n v="0"/>
    <n v="0"/>
  </r>
  <r>
    <n v="29"/>
    <s v="Salchicha Thüringer"/>
    <x v="6"/>
    <s v="Carnes"/>
    <s v="50 bolsas x 30 salch"/>
    <n v="123.79"/>
    <n v="0"/>
    <n v="20"/>
    <n v="60"/>
    <n v="0"/>
    <n v="0"/>
    <n v="0"/>
  </r>
  <r>
    <n v="53"/>
    <s v="Empanada de carne"/>
    <x v="9"/>
    <s v="Carnes"/>
    <s v="48 porc."/>
    <n v="32.799999999999997"/>
    <n v="0"/>
    <n v="20"/>
    <n v="60"/>
    <n v="0"/>
    <n v="0"/>
    <n v="0"/>
  </r>
  <r>
    <n v="54"/>
    <s v="Empanada de cerdo"/>
    <x v="10"/>
    <s v="Carnes"/>
    <s v="16 tartas"/>
    <n v="7.45"/>
    <n v="21"/>
    <n v="20"/>
    <n v="0"/>
    <n v="156.45000000000002"/>
    <n v="105"/>
    <n v="261.45000000000005"/>
  </r>
  <r>
    <n v="55"/>
    <s v="Paté chino"/>
    <x v="10"/>
    <s v="Carnes"/>
    <s v="24 cajas x 2 tartas"/>
    <n v="24"/>
    <n v="115"/>
    <n v="20"/>
    <n v="0"/>
    <n v="2760"/>
    <n v="575"/>
    <n v="3335"/>
  </r>
  <r>
    <n v="3"/>
    <s v="Sirope de regaliz"/>
    <x v="0"/>
    <s v="Condimentos"/>
    <s v="12 - bot. 550 ml"/>
    <n v="10"/>
    <n v="13"/>
    <n v="15"/>
    <n v="214.50000000000003"/>
    <n v="130"/>
    <n v="13"/>
    <n v="143"/>
  </r>
  <r>
    <n v="4"/>
    <s v="Especias Cajun del chef Anton"/>
    <x v="11"/>
    <s v="Condimentos"/>
    <s v="48 - frascos 6 l"/>
    <n v="22"/>
    <n v="53"/>
    <n v="15"/>
    <n v="0"/>
    <n v="1166"/>
    <n v="53"/>
    <n v="1219"/>
  </r>
  <r>
    <n v="5"/>
    <s v="Mezcla Gumbo del chef Anton"/>
    <x v="11"/>
    <s v="Condimentos"/>
    <s v="36 cajas"/>
    <n v="21.35"/>
    <n v="0"/>
    <n v="15"/>
    <n v="45"/>
    <n v="0"/>
    <n v="0"/>
    <n v="0"/>
  </r>
  <r>
    <n v="6"/>
    <s v="Mermelada de grosellas de la abuela"/>
    <x v="12"/>
    <s v="Condimentos"/>
    <s v="12 - frascos 8 l"/>
    <n v="25"/>
    <n v="120"/>
    <n v="15"/>
    <n v="0"/>
    <n v="3000"/>
    <n v="120"/>
    <n v="3120"/>
  </r>
  <r>
    <n v="8"/>
    <s v="Salsa de arándanos Northwoods"/>
    <x v="12"/>
    <s v="Condimentos"/>
    <s v="12 - frascos 12 l"/>
    <n v="40"/>
    <n v="6"/>
    <n v="15"/>
    <n v="99.000000000000014"/>
    <n v="240"/>
    <n v="6"/>
    <n v="246"/>
  </r>
  <r>
    <n v="15"/>
    <s v="Salsa de soja baja en sodio"/>
    <x v="13"/>
    <s v="Condimentos"/>
    <s v="24 - bot. 250 ml"/>
    <n v="15.5"/>
    <n v="39"/>
    <n v="15"/>
    <n v="0"/>
    <n v="604.5"/>
    <n v="39"/>
    <n v="643.5"/>
  </r>
  <r>
    <n v="44"/>
    <s v="Azúcar negra Malacca"/>
    <x v="4"/>
    <s v="Condimentos"/>
    <s v="20 - bolsas 2 kg"/>
    <n v="19.45"/>
    <n v="27"/>
    <n v="15"/>
    <n v="0"/>
    <n v="525.15"/>
    <n v="27"/>
    <n v="552.15"/>
  </r>
  <r>
    <n v="61"/>
    <s v="Sirope de arce"/>
    <x v="14"/>
    <s v="Condimentos"/>
    <s v="24 - bot. 500 ml"/>
    <n v="28.5"/>
    <n v="113"/>
    <n v="15"/>
    <n v="0"/>
    <n v="3220.5"/>
    <n v="113"/>
    <n v="3333.5"/>
  </r>
  <r>
    <n v="63"/>
    <s v="Sandwich de vegetales"/>
    <x v="5"/>
    <s v="Condimentos"/>
    <s v="15 - frascos 625 g"/>
    <n v="43.9"/>
    <n v="24"/>
    <n v="15"/>
    <n v="0"/>
    <n v="1053.5999999999999"/>
    <n v="24"/>
    <n v="1077.5999999999999"/>
  </r>
  <r>
    <n v="65"/>
    <s v="Salsa de pimiento picante de Luisiana"/>
    <x v="11"/>
    <s v="Condimentos"/>
    <s v="32 - bot. 8 l"/>
    <n v="21.05"/>
    <n v="76"/>
    <n v="15"/>
    <n v="0"/>
    <n v="1599.8"/>
    <n v="76"/>
    <n v="1675.8"/>
  </r>
  <r>
    <n v="66"/>
    <s v="Especias picantes de Luisiana"/>
    <x v="11"/>
    <s v="Condimentos"/>
    <s v="24 - frascos 8 l"/>
    <n v="17"/>
    <n v="4"/>
    <n v="15"/>
    <n v="66"/>
    <n v="68"/>
    <n v="4"/>
    <n v="72"/>
  </r>
  <r>
    <n v="77"/>
    <s v="Salsa verde original Frankfurter"/>
    <x v="6"/>
    <s v="Condimentos"/>
    <s v="12 cajas"/>
    <n v="13"/>
    <n v="32"/>
    <n v="15"/>
    <n v="0"/>
    <n v="416"/>
    <n v="32"/>
    <n v="448"/>
  </r>
  <r>
    <n v="7"/>
    <s v="Peras secas orgánicas del tío Bob"/>
    <x v="12"/>
    <s v="Frutas/Verduras"/>
    <s v="12 - paq. 1 kg"/>
    <n v="30"/>
    <n v="15"/>
    <n v="10"/>
    <n v="0"/>
    <n v="450"/>
    <n v="75"/>
    <n v="525"/>
  </r>
  <r>
    <n v="14"/>
    <s v="Cuajada de judías"/>
    <x v="13"/>
    <s v="Frutas/Verduras"/>
    <s v="40 - paq. 100 g"/>
    <n v="23.25"/>
    <n v="35"/>
    <n v="10"/>
    <n v="0"/>
    <n v="813.75"/>
    <n v="175"/>
    <n v="988.75"/>
  </r>
  <r>
    <n v="28"/>
    <s v="Col fermentada Rössle"/>
    <x v="6"/>
    <s v="Frutas/Verduras"/>
    <s v="25 - latas 825 g"/>
    <n v="45.6"/>
    <n v="26"/>
    <n v="10"/>
    <n v="0"/>
    <n v="1185.6000000000001"/>
    <n v="130"/>
    <n v="1315.6000000000001"/>
  </r>
  <r>
    <n v="51"/>
    <s v="Manzanas secas Manjimup"/>
    <x v="9"/>
    <s v="Frutas/Verduras"/>
    <s v="50 - paq. 300 g"/>
    <n v="53"/>
    <n v="20"/>
    <n v="10"/>
    <n v="0"/>
    <n v="1060"/>
    <n v="100"/>
    <n v="1160"/>
  </r>
  <r>
    <n v="74"/>
    <s v="Queso de soja Longlife"/>
    <x v="8"/>
    <s v="Frutas/Verduras"/>
    <s v="paq. 5 kg"/>
    <n v="10"/>
    <n v="4"/>
    <n v="10"/>
    <n v="44"/>
    <n v="40"/>
    <n v="20"/>
    <n v="60"/>
  </r>
  <r>
    <n v="22"/>
    <s v="Pan de centeno crujiente estilo Gustaf's"/>
    <x v="15"/>
    <s v="Granos/Cereales"/>
    <s v="24 - paq. 500 g"/>
    <n v="21"/>
    <n v="104"/>
    <n v="5"/>
    <n v="0"/>
    <n v="2184"/>
    <n v="312"/>
    <n v="2496"/>
  </r>
  <r>
    <n v="23"/>
    <s v="Pan fino"/>
    <x v="15"/>
    <s v="Granos/Cereales"/>
    <s v="12 - paq. 250 g"/>
    <n v="9"/>
    <n v="61"/>
    <n v="5"/>
    <n v="0"/>
    <n v="549"/>
    <n v="183"/>
    <n v="732"/>
  </r>
  <r>
    <n v="42"/>
    <s v="Tallarines de Singapur"/>
    <x v="4"/>
    <s v="Granos/Cereales"/>
    <s v="32 - 1 kg paq."/>
    <n v="14"/>
    <n v="26"/>
    <n v="5"/>
    <n v="0"/>
    <n v="364"/>
    <n v="78"/>
    <n v="442"/>
  </r>
  <r>
    <n v="52"/>
    <s v="Cereales para Filo"/>
    <x v="9"/>
    <s v="Granos/Cereales"/>
    <s v="16 - cajas 2 kg"/>
    <n v="7"/>
    <n v="38"/>
    <n v="5"/>
    <n v="0"/>
    <n v="266"/>
    <n v="114"/>
    <n v="380"/>
  </r>
  <r>
    <n v="56"/>
    <s v="Gnocchi de la abuela Alicia"/>
    <x v="16"/>
    <s v="Granos/Cereales"/>
    <s v="24 - paq. 250 g"/>
    <n v="38"/>
    <n v="21"/>
    <n v="5"/>
    <n v="0"/>
    <n v="798"/>
    <n v="63"/>
    <n v="861"/>
  </r>
  <r>
    <n v="57"/>
    <s v="Raviolis Angelo"/>
    <x v="16"/>
    <s v="Granos/Cereales"/>
    <s v="24 - paq. 250 g"/>
    <n v="19.5"/>
    <n v="36"/>
    <n v="5"/>
    <n v="0"/>
    <n v="702"/>
    <n v="108"/>
    <n v="810"/>
  </r>
  <r>
    <n v="64"/>
    <s v="Bollos de pan de Wimmer"/>
    <x v="6"/>
    <s v="Granos/Cereales"/>
    <s v="20 bolsas x 4 porc."/>
    <n v="33.25"/>
    <n v="22"/>
    <n v="5"/>
    <n v="0"/>
    <n v="731.5"/>
    <n v="66"/>
    <n v="797.5"/>
  </r>
  <r>
    <n v="11"/>
    <s v="Queso Cabrales"/>
    <x v="17"/>
    <s v="Lácteos"/>
    <s v="paq. 1 kg"/>
    <n v="21"/>
    <n v="22"/>
    <n v="10"/>
    <n v="0"/>
    <n v="462"/>
    <n v="110"/>
    <n v="572"/>
  </r>
  <r>
    <n v="12"/>
    <s v="Queso Manchego La Pastora"/>
    <x v="17"/>
    <s v="Lácteos"/>
    <s v="10 - paq. 500 g"/>
    <n v="38"/>
    <n v="86"/>
    <n v="10"/>
    <n v="0"/>
    <n v="3268"/>
    <n v="430"/>
    <n v="3698"/>
  </r>
  <r>
    <n v="31"/>
    <s v="Queso gorgonzola Telino"/>
    <x v="18"/>
    <s v="Lácteos"/>
    <s v="12 - paq. 100 g"/>
    <n v="12.5"/>
    <n v="0"/>
    <n v="10"/>
    <n v="30"/>
    <n v="0"/>
    <n v="0"/>
    <n v="0"/>
  </r>
  <r>
    <n v="32"/>
    <s v="Queso Mascarpone Fabioli"/>
    <x v="18"/>
    <s v="Lácteos"/>
    <s v="24 - paq. 200 g"/>
    <n v="32"/>
    <n v="9"/>
    <n v="10"/>
    <n v="99.000000000000014"/>
    <n v="288"/>
    <n v="45"/>
    <n v="333"/>
  </r>
  <r>
    <n v="33"/>
    <s v="Queso de cabra"/>
    <x v="19"/>
    <s v="Lácteos"/>
    <s v="500 g"/>
    <n v="2.5"/>
    <n v="112"/>
    <n v="10"/>
    <n v="0"/>
    <n v="280"/>
    <n v="560"/>
    <n v="840"/>
  </r>
  <r>
    <n v="59"/>
    <s v="Raclet de queso Courdavault"/>
    <x v="20"/>
    <s v="Lácteos"/>
    <s v="paq. 5 kg"/>
    <n v="55"/>
    <n v="79"/>
    <n v="10"/>
    <n v="0"/>
    <n v="4345"/>
    <n v="395"/>
    <n v="4740"/>
  </r>
  <r>
    <n v="60"/>
    <s v="Camembert Pierrot"/>
    <x v="20"/>
    <s v="Lácteos"/>
    <s v="15 - paq. 300 g"/>
    <n v="34"/>
    <n v="19"/>
    <n v="10"/>
    <n v="0"/>
    <n v="646"/>
    <n v="95"/>
    <n v="741"/>
  </r>
  <r>
    <n v="69"/>
    <s v="Queso Gudbrandsdals"/>
    <x v="19"/>
    <s v="Lácteos"/>
    <s v="paq. 10 kg"/>
    <n v="36"/>
    <n v="26"/>
    <n v="10"/>
    <n v="0"/>
    <n v="936"/>
    <n v="130"/>
    <n v="1066"/>
  </r>
  <r>
    <n v="71"/>
    <s v="Crema de queso Fløtemys"/>
    <x v="19"/>
    <s v="Lácteos"/>
    <s v="10 - paq. 500 g"/>
    <n v="21.5"/>
    <n v="26"/>
    <n v="10"/>
    <n v="0"/>
    <n v="559"/>
    <n v="130"/>
    <n v="689"/>
  </r>
  <r>
    <n v="72"/>
    <s v="Queso Mozzarella Giovanni"/>
    <x v="18"/>
    <s v="Lácteos"/>
    <s v="24 - paq. 200 g"/>
    <n v="34.799999999999997"/>
    <n v="14"/>
    <n v="10"/>
    <n v="0"/>
    <n v="487.19999999999993"/>
    <n v="70"/>
    <n v="557.19999999999993"/>
  </r>
  <r>
    <n v="10"/>
    <s v="Pez espada"/>
    <x v="8"/>
    <s v="Pescado/Marisco"/>
    <s v="12 - frascos 200 ml"/>
    <n v="31"/>
    <n v="31"/>
    <n v="5"/>
    <n v="0"/>
    <n v="961"/>
    <n v="155"/>
    <n v="1116"/>
  </r>
  <r>
    <n v="13"/>
    <s v="Algas Konbu"/>
    <x v="13"/>
    <s v="Pescado/Marisco"/>
    <s v="caja 2 kg"/>
    <n v="6"/>
    <n v="24"/>
    <n v="5"/>
    <n v="0"/>
    <n v="144"/>
    <n v="120"/>
    <n v="264"/>
  </r>
  <r>
    <n v="18"/>
    <s v="Langostinos tigre Carnarvon"/>
    <x v="5"/>
    <s v="Pescado/Marisco"/>
    <s v="paq. 16 kg"/>
    <n v="62.5"/>
    <n v="42"/>
    <n v="5"/>
    <n v="0"/>
    <n v="2625"/>
    <n v="210"/>
    <n v="2835"/>
  </r>
  <r>
    <n v="30"/>
    <s v="Arenque blanco del noroeste"/>
    <x v="21"/>
    <s v="Pescado/Marisco"/>
    <s v="10 - vasos 200 g"/>
    <n v="25.89"/>
    <n v="10"/>
    <n v="5"/>
    <n v="0"/>
    <n v="258.89999999999998"/>
    <n v="50"/>
    <n v="308.89999999999998"/>
  </r>
  <r>
    <n v="36"/>
    <s v="Escabeche de arenque"/>
    <x v="22"/>
    <s v="Pescado/Marisco"/>
    <s v="24 - frascos 250 g"/>
    <n v="19"/>
    <n v="112"/>
    <n v="5"/>
    <n v="0"/>
    <n v="2128"/>
    <n v="560"/>
    <n v="2688"/>
  </r>
  <r>
    <n v="37"/>
    <s v="Salmón ahumado Gravad"/>
    <x v="22"/>
    <s v="Pescado/Marisco"/>
    <s v="12 - paq. 500 g"/>
    <n v="26"/>
    <n v="11"/>
    <n v="5"/>
    <n v="0"/>
    <n v="286"/>
    <n v="55"/>
    <n v="341"/>
  </r>
  <r>
    <n v="40"/>
    <s v="Carne de cangrejo de Boston"/>
    <x v="23"/>
    <s v="Pescado/Marisco"/>
    <s v="24 - latas 4 l"/>
    <n v="18.399999999999999"/>
    <n v="123"/>
    <n v="5"/>
    <n v="0"/>
    <n v="2263.1999999999998"/>
    <n v="615"/>
    <n v="2878.2"/>
  </r>
  <r>
    <n v="41"/>
    <s v="Crema de almejas estilo Nueva Inglaterra"/>
    <x v="23"/>
    <s v="Pescado/Marisco"/>
    <s v="12 - latas 12 l"/>
    <n v="9.65"/>
    <n v="85"/>
    <n v="5"/>
    <n v="0"/>
    <n v="820.25"/>
    <n v="425"/>
    <n v="1245.25"/>
  </r>
  <r>
    <n v="45"/>
    <s v="Arenque ahumado"/>
    <x v="24"/>
    <s v="Pescado/Marisco"/>
    <s v="paq. 1k"/>
    <n v="9.5"/>
    <n v="5"/>
    <n v="5"/>
    <n v="0"/>
    <n v="47.5"/>
    <n v="25"/>
    <n v="72.5"/>
  </r>
  <r>
    <n v="46"/>
    <s v="Arenque salado"/>
    <x v="24"/>
    <s v="Pescado/Marisco"/>
    <s v="4 - vasos 450 g"/>
    <n v="12"/>
    <n v="95"/>
    <n v="5"/>
    <n v="0"/>
    <n v="1140"/>
    <n v="475"/>
    <n v="1615"/>
  </r>
  <r>
    <n v="58"/>
    <s v="Caracoles de Borgoña"/>
    <x v="25"/>
    <s v="Pescado/Marisco"/>
    <s v="24 porc."/>
    <n v="13.25"/>
    <n v="62"/>
    <n v="5"/>
    <n v="0"/>
    <n v="821.5"/>
    <n v="310"/>
    <n v="1131.5"/>
  </r>
  <r>
    <n v="73"/>
    <s v="Caviar rojo"/>
    <x v="22"/>
    <s v="Pescado/Marisco"/>
    <s v="24 - frascos150 g"/>
    <n v="15"/>
    <n v="101"/>
    <n v="5"/>
    <n v="0"/>
    <n v="1515"/>
    <n v="505"/>
    <n v="2020"/>
  </r>
  <r>
    <n v="16"/>
    <s v="Postre de merengue Pavlova"/>
    <x v="5"/>
    <s v="Repostería"/>
    <s v="32 - cajas 500 g"/>
    <n v="17.45"/>
    <n v="29"/>
    <n v="25"/>
    <n v="0"/>
    <n v="506.04999999999995"/>
    <n v="58"/>
    <n v="564.04999999999995"/>
  </r>
  <r>
    <n v="19"/>
    <s v="Pastas de té de chocolate"/>
    <x v="26"/>
    <s v="Repostería"/>
    <s v="10 cajas x 12 piezas"/>
    <n v="9.1999999999999993"/>
    <n v="25"/>
    <n v="25"/>
    <n v="0"/>
    <n v="229.99999999999997"/>
    <n v="50"/>
    <n v="280"/>
  </r>
  <r>
    <n v="20"/>
    <s v="Mermelada de Sir Rodney's"/>
    <x v="26"/>
    <s v="Repostería"/>
    <s v="30 cajas regalo"/>
    <n v="81"/>
    <n v="40"/>
    <n v="25"/>
    <n v="0"/>
    <n v="3240"/>
    <n v="80"/>
    <n v="3320"/>
  </r>
  <r>
    <n v="21"/>
    <s v="Bollos de Sir Rodney's"/>
    <x v="26"/>
    <s v="Repostería"/>
    <s v="24 paq. x 4 piezas"/>
    <n v="10"/>
    <n v="3"/>
    <n v="25"/>
    <n v="82.5"/>
    <n v="30"/>
    <n v="6"/>
    <n v="36"/>
  </r>
  <r>
    <n v="25"/>
    <s v="Crema de chocolate y nueces NuNuCa"/>
    <x v="27"/>
    <s v="Repostería"/>
    <s v="20 - vasos  450 g"/>
    <n v="14"/>
    <n v="76"/>
    <n v="25"/>
    <n v="0"/>
    <n v="1064"/>
    <n v="152"/>
    <n v="1216"/>
  </r>
  <r>
    <n v="26"/>
    <s v="Ositos de goma Gumbär"/>
    <x v="27"/>
    <s v="Repostería"/>
    <s v="100 - bolsas 250 g"/>
    <n v="31.23"/>
    <n v="15"/>
    <n v="25"/>
    <n v="412.50000000000006"/>
    <n v="468.45"/>
    <n v="30"/>
    <n v="498.45"/>
  </r>
  <r>
    <n v="27"/>
    <s v="Chocolate Schoggi"/>
    <x v="27"/>
    <s v="Repostería"/>
    <s v="100 - piezas 100 g"/>
    <n v="43.9"/>
    <n v="49"/>
    <n v="25"/>
    <n v="0"/>
    <n v="2151.1"/>
    <n v="98"/>
    <n v="2249.1"/>
  </r>
  <r>
    <n v="47"/>
    <s v="Galletas Zaanse"/>
    <x v="28"/>
    <s v="Repostería"/>
    <s v="10 - cajas 4 l"/>
    <n v="9.5"/>
    <n v="36"/>
    <n v="25"/>
    <n v="0"/>
    <n v="342"/>
    <n v="72"/>
    <n v="414"/>
  </r>
  <r>
    <n v="48"/>
    <s v="Chocolate holandés"/>
    <x v="28"/>
    <s v="Repostería"/>
    <s v="10 paq."/>
    <n v="12.75"/>
    <n v="15"/>
    <n v="25"/>
    <n v="412.50000000000006"/>
    <n v="191.25"/>
    <n v="30"/>
    <n v="221.25"/>
  </r>
  <r>
    <n v="49"/>
    <s v="Regaliz"/>
    <x v="7"/>
    <s v="Repostería"/>
    <s v="24 - paq. 50 g"/>
    <n v="20"/>
    <n v="10"/>
    <n v="25"/>
    <n v="275"/>
    <n v="200"/>
    <n v="20"/>
    <n v="220"/>
  </r>
  <r>
    <n v="50"/>
    <s v="Chocolate blanco"/>
    <x v="7"/>
    <s v="Repostería"/>
    <s v="12 - barras 100 g"/>
    <n v="16.25"/>
    <n v="65"/>
    <n v="25"/>
    <n v="0"/>
    <n v="1056.25"/>
    <n v="130"/>
    <n v="1186.25"/>
  </r>
  <r>
    <n v="62"/>
    <s v="Tarta de azúcar"/>
    <x v="14"/>
    <s v="Repostería"/>
    <s v="48 tartas"/>
    <n v="49.3"/>
    <n v="17"/>
    <n v="25"/>
    <n v="467.50000000000006"/>
    <n v="838.09999999999991"/>
    <n v="34"/>
    <n v="872.09999999999991"/>
  </r>
  <r>
    <n v="68"/>
    <s v="Barras de pan de Escocia"/>
    <x v="26"/>
    <s v="Repostería"/>
    <s v="10 cajas x 8 porc."/>
    <n v="12.5"/>
    <n v="6"/>
    <n v="25"/>
    <n v="165"/>
    <n v="75"/>
    <n v="12"/>
    <n v="8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4-12-01T00:00:00"/>
    <s v="0001-00223123"/>
    <x v="0"/>
    <n v="360.43"/>
    <n v="50"/>
    <n v="18021.5"/>
    <x v="0"/>
  </r>
  <r>
    <d v="2024-12-02T00:00:00"/>
    <s v="0001-00223124"/>
    <x v="1"/>
    <n v="456.76"/>
    <n v="10"/>
    <n v="4567.6000000000004"/>
    <x v="0"/>
  </r>
  <r>
    <d v="2024-12-02T00:00:00"/>
    <s v="0001-00223125"/>
    <x v="2"/>
    <n v="4419.38"/>
    <n v="10"/>
    <n v="44193.8"/>
    <x v="0"/>
  </r>
  <r>
    <d v="2024-12-03T00:00:00"/>
    <s v="0002-00003321"/>
    <x v="3"/>
    <n v="476.84"/>
    <n v="20"/>
    <n v="9536.7999999999993"/>
    <x v="1"/>
  </r>
  <r>
    <d v="2024-12-03T00:00:00"/>
    <s v="0002-00003322"/>
    <x v="4"/>
    <n v="477.73"/>
    <n v="20"/>
    <n v="9554.6"/>
    <x v="1"/>
  </r>
  <r>
    <d v="2024-12-04T00:00:00"/>
    <s v="0003-00000112"/>
    <x v="5"/>
    <n v="469.76"/>
    <n v="15"/>
    <n v="7046.4"/>
    <x v="2"/>
  </r>
  <r>
    <d v="2024-12-04T00:00:00"/>
    <s v="0001-00223126"/>
    <x v="6"/>
    <n v="469.76"/>
    <n v="5"/>
    <n v="2348.8000000000002"/>
    <x v="0"/>
  </r>
  <r>
    <d v="2024-12-05T00:00:00"/>
    <s v="0003-00000113"/>
    <x v="7"/>
    <n v="456.76"/>
    <n v="30"/>
    <n v="13702.8"/>
    <x v="2"/>
  </r>
  <r>
    <d v="2024-12-06T00:00:00"/>
    <s v="0002-00003323"/>
    <x v="8"/>
    <n v="1578.14"/>
    <n v="20"/>
    <n v="31562.800000000003"/>
    <x v="1"/>
  </r>
  <r>
    <d v="2024-12-06T00:00:00"/>
    <s v="0001-00223127"/>
    <x v="9"/>
    <n v="723.75"/>
    <n v="15"/>
    <n v="10856.25"/>
    <x v="0"/>
  </r>
  <r>
    <d v="2024-12-07T00:00:00"/>
    <s v="0003-00000114"/>
    <x v="8"/>
    <n v="1578.14"/>
    <n v="10"/>
    <n v="15781.400000000001"/>
    <x v="2"/>
  </r>
  <r>
    <d v="2024-12-07T00:00:00"/>
    <s v="0002-00003324"/>
    <x v="4"/>
    <n v="477.73"/>
    <n v="20"/>
    <n v="9554.6"/>
    <x v="1"/>
  </r>
  <r>
    <d v="2024-12-07T00:00:00"/>
    <s v="0003-00000115"/>
    <x v="3"/>
    <n v="476.84"/>
    <n v="15"/>
    <n v="7152.5999999999995"/>
    <x v="2"/>
  </r>
  <r>
    <d v="2024-12-08T00:00:00"/>
    <s v="0003-00000116"/>
    <x v="9"/>
    <n v="723.75"/>
    <n v="20"/>
    <n v="14475"/>
    <x v="2"/>
  </r>
  <r>
    <d v="2024-12-08T00:00:00"/>
    <s v="0003-00000117"/>
    <x v="0"/>
    <n v="360.43"/>
    <n v="50"/>
    <n v="18021.5"/>
    <x v="2"/>
  </r>
  <r>
    <d v="2024-12-08T00:00:00"/>
    <s v="0001-00223128"/>
    <x v="5"/>
    <n v="469.76"/>
    <n v="10"/>
    <n v="4697.6000000000004"/>
    <x v="0"/>
  </r>
  <r>
    <d v="2024-12-09T00:00:00"/>
    <s v="0002-00003325"/>
    <x v="3"/>
    <n v="476.84"/>
    <n v="10"/>
    <n v="4768.3999999999996"/>
    <x v="1"/>
  </r>
  <r>
    <d v="2024-12-10T00:00:00"/>
    <s v="0001-00223128"/>
    <x v="4"/>
    <n v="477.73"/>
    <n v="15"/>
    <n v="7165.9500000000007"/>
    <x v="0"/>
  </r>
  <r>
    <d v="2024-12-11T00:00:00"/>
    <s v="0001-00223129"/>
    <x v="9"/>
    <n v="723.75"/>
    <n v="5"/>
    <n v="3618.75"/>
    <x v="0"/>
  </r>
  <r>
    <d v="2024-12-11T00:00:00"/>
    <s v="0001-00223130"/>
    <x v="1"/>
    <n v="456.76"/>
    <n v="5"/>
    <n v="2283.8000000000002"/>
    <x v="0"/>
  </r>
  <r>
    <d v="2024-12-12T00:00:00"/>
    <s v="0002-00003326"/>
    <x v="5"/>
    <n v="469.76"/>
    <n v="10"/>
    <n v="4697.6000000000004"/>
    <x v="1"/>
  </r>
  <r>
    <d v="2024-12-12T00:00:00"/>
    <s v="0002-00003327"/>
    <x v="1"/>
    <n v="456.76"/>
    <n v="15"/>
    <n v="6851.4"/>
    <x v="1"/>
  </r>
  <r>
    <d v="2024-12-13T00:00:00"/>
    <s v="0002-00003328"/>
    <x v="0"/>
    <n v="360.43"/>
    <n v="20"/>
    <n v="7208.6"/>
    <x v="1"/>
  </r>
  <r>
    <d v="2024-12-14T00:00:00"/>
    <s v="0001-00223131"/>
    <x v="5"/>
    <n v="469.76"/>
    <n v="30"/>
    <n v="14092.8"/>
    <x v="0"/>
  </r>
  <r>
    <d v="2024-12-14T00:00:00"/>
    <s v="0001-00223132"/>
    <x v="8"/>
    <n v="1578.14"/>
    <n v="30"/>
    <n v="47344.20000000000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660AD-8E07-40F2-8BDD-BF3A9306EE19}" name="TablaDinámica4" cacheId="23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90:E103" firstHeaderRow="1" firstDataRow="2" firstDataCol="1" rowPageCount="1" colPageCount="1"/>
  <pivotFields count="7">
    <pivotField axis="axisCol" compact="0" outline="0" showAll="0">
      <items count="4">
        <item x="2"/>
        <item x="0"/>
        <item x="1"/>
        <item t="default"/>
      </items>
    </pivotField>
    <pivotField compact="0" outline="0" showAll="0">
      <items count="7">
        <item x="3"/>
        <item x="1"/>
        <item x="0"/>
        <item x="5"/>
        <item x="4"/>
        <item x="2"/>
        <item t="default"/>
      </items>
    </pivotField>
    <pivotField axis="axisRow" compact="0" numFmtId="14" outline="0" showAll="0">
      <items count="12">
        <item x="0"/>
        <item x="1"/>
        <item x="2"/>
        <item x="6"/>
        <item x="3"/>
        <item x="5"/>
        <item x="7"/>
        <item x="9"/>
        <item x="4"/>
        <item x="10"/>
        <item x="8"/>
        <item t="default"/>
      </items>
    </pivotField>
    <pivotField compact="0" outline="0" showAll="0"/>
    <pivotField axis="axisPage" compact="0" outline="0" showAll="0">
      <items count="7">
        <item x="4"/>
        <item x="2"/>
        <item x="3"/>
        <item x="0"/>
        <item x="5"/>
        <item x="1"/>
        <item t="default"/>
      </items>
    </pivotField>
    <pivotField compact="0" outline="0" showAll="0">
      <items count="15">
        <item x="0"/>
        <item x="9"/>
        <item x="1"/>
        <item x="6"/>
        <item x="13"/>
        <item x="7"/>
        <item x="2"/>
        <item x="5"/>
        <item x="11"/>
        <item x="3"/>
        <item x="4"/>
        <item x="12"/>
        <item x="8"/>
        <item x="10"/>
        <item t="default"/>
      </items>
    </pivotField>
    <pivotField dataField="1" compact="0" outline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4" hier="-1"/>
  </pageFields>
  <dataFields count="1">
    <dataField name="Suma de IMPORTE" fld="6" baseField="0" baseItem="0"/>
  </dataFields>
  <chartFormats count="6">
    <chartFormat chart="0" format="1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CB415-30D5-4D91-A56E-589145C14FC4}" name="TablaDinámica3" cacheId="23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72:H85" firstHeaderRow="1" firstDataRow="2" firstDataCol="1" rowPageCount="1" colPageCount="1"/>
  <pivotFields count="7">
    <pivotField axis="axisPage" compact="0" outline="0" showAll="0">
      <items count="4">
        <item x="2"/>
        <item x="0"/>
        <item x="1"/>
        <item t="default"/>
      </items>
    </pivotField>
    <pivotField axis="axisCol" compact="0" outline="0" showAll="0">
      <items count="7">
        <item x="3"/>
        <item x="1"/>
        <item x="0"/>
        <item x="5"/>
        <item x="4"/>
        <item x="2"/>
        <item t="default"/>
      </items>
    </pivotField>
    <pivotField axis="axisRow" compact="0" numFmtId="14" outline="0" showAll="0" sortType="ascending">
      <items count="12">
        <item x="0"/>
        <item x="1"/>
        <item x="2"/>
        <item x="6"/>
        <item x="3"/>
        <item x="5"/>
        <item x="7"/>
        <item x="9"/>
        <item x="4"/>
        <item x="10"/>
        <item x="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-1"/>
  </pageFields>
  <dataFields count="1">
    <dataField name="Suma de CANTIDAD" fld="5" baseField="0" baseItem="0" numFmtId="2"/>
  </dataFields>
  <formats count="10">
    <format dxfId="23">
      <pivotArea type="all" dataOnly="0" outline="0" fieldPosition="0"/>
    </format>
    <format dxfId="24">
      <pivotArea outline="0" collapsedLevelsAreSubtotals="1" fieldPosition="0"/>
    </format>
    <format dxfId="25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7">
      <pivotArea type="topRight" dataOnly="0" labelOnly="1" outline="0" fieldPosition="0"/>
    </format>
    <format dxfId="28">
      <pivotArea field="2" type="button" dataOnly="0" labelOnly="1" outline="0" axis="axisRow" fieldPosition="0"/>
    </format>
    <format dxfId="29">
      <pivotArea dataOnly="0" labelOnly="1" grandRow="1" outline="0" fieldPosition="0"/>
    </format>
    <format dxfId="30">
      <pivotArea dataOnly="0" labelOnly="1" outline="0" fieldPosition="0">
        <references count="1">
          <reference field="1" count="0"/>
        </references>
      </pivotArea>
    </format>
    <format dxfId="31">
      <pivotArea dataOnly="0" labelOnly="1" grandCol="1" outline="0" fieldPosition="0"/>
    </format>
    <format dxfId="32">
      <pivotArea dataOnly="0" labelOnly="1" outline="0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D14A5-937C-4C11-93E3-88E0B8CF8E1A}" name="TablaDinámica2" cacheId="23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5:C65" firstHeaderRow="1" firstDataRow="1" firstDataCol="2" rowPageCount="1" colPageCount="1"/>
  <pivotFields count="7"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>
      <items count="7">
        <item x="3"/>
        <item x="1"/>
        <item x="0"/>
        <item x="5"/>
        <item x="4"/>
        <item x="2"/>
        <item t="default"/>
      </items>
    </pivotField>
    <pivotField axis="axisPage" compact="0" numFmtId="14" outline="0" showAll="0">
      <items count="12">
        <item x="0"/>
        <item x="1"/>
        <item x="2"/>
        <item x="6"/>
        <item x="3"/>
        <item x="5"/>
        <item x="7"/>
        <item x="9"/>
        <item x="4"/>
        <item x="10"/>
        <item x="8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24">
        <item x="13"/>
        <item x="3"/>
        <item x="12"/>
        <item x="2"/>
        <item x="10"/>
        <item x="4"/>
        <item x="8"/>
        <item x="19"/>
        <item x="5"/>
        <item x="14"/>
        <item x="9"/>
        <item x="11"/>
        <item x="16"/>
        <item x="0"/>
        <item x="1"/>
        <item x="6"/>
        <item x="15"/>
        <item x="7"/>
        <item x="17"/>
        <item x="18"/>
        <item x="21"/>
        <item x="20"/>
        <item x="22"/>
        <item t="default"/>
      </items>
    </pivotField>
  </pivotFields>
  <rowFields count="2">
    <field x="0"/>
    <field x="1"/>
  </rowFields>
  <rowItems count="10">
    <i>
      <x/>
      <x v="3"/>
    </i>
    <i r="1">
      <x v="4"/>
    </i>
    <i t="default">
      <x/>
    </i>
    <i>
      <x v="1"/>
      <x/>
    </i>
    <i r="1">
      <x v="1"/>
    </i>
    <i r="1">
      <x v="2"/>
    </i>
    <i t="default">
      <x v="1"/>
    </i>
    <i>
      <x v="2"/>
      <x v="5"/>
    </i>
    <i t="default">
      <x v="2"/>
    </i>
    <i t="grand">
      <x/>
    </i>
  </rowItems>
  <colItems count="1">
    <i/>
  </colItems>
  <pageFields count="1">
    <pageField fld="2" hier="-1"/>
  </pageFields>
  <dataFields count="1">
    <dataField name="Suma de IMPORT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C48E5-7F53-45D8-9172-FFFADA52EBDB}" name="TablaDinámica1" cacheId="23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0:I50" firstHeaderRow="1" firstDataRow="2" firstDataCol="2"/>
  <pivotFields count="7"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axis="axisRow" compact="0" numFmtId="14" outline="0" showAll="0">
      <items count="12">
        <item x="0"/>
        <item x="1"/>
        <item x="2"/>
        <item x="6"/>
        <item x="3"/>
        <item x="5"/>
        <item x="7"/>
        <item x="9"/>
        <item x="4"/>
        <item x="10"/>
        <item x="8"/>
        <item t="default"/>
      </items>
    </pivotField>
    <pivotField compact="0" outline="0" showAll="0"/>
    <pivotField axis="axisCol" compact="0" outline="0" showAll="0">
      <items count="7">
        <item x="4"/>
        <item x="2"/>
        <item x="3"/>
        <item x="0"/>
        <item x="5"/>
        <item x="1"/>
        <item t="default"/>
      </items>
    </pivotField>
    <pivotField dataField="1" compact="0" outline="0" showAll="0">
      <items count="15">
        <item x="0"/>
        <item x="9"/>
        <item x="1"/>
        <item x="6"/>
        <item x="13"/>
        <item x="7"/>
        <item x="2"/>
        <item x="5"/>
        <item x="11"/>
        <item x="3"/>
        <item x="4"/>
        <item x="12"/>
        <item x="8"/>
        <item x="10"/>
        <item t="default"/>
      </items>
    </pivotField>
    <pivotField compact="0" outline="0" showAll="0"/>
  </pivotFields>
  <rowFields count="2">
    <field x="0"/>
    <field x="2"/>
  </rowFields>
  <rowItems count="19">
    <i>
      <x/>
      <x v="5"/>
    </i>
    <i r="1">
      <x v="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t="default">
      <x v="1"/>
    </i>
    <i>
      <x v="2"/>
      <x v="2"/>
    </i>
    <i r="1">
      <x v="3"/>
    </i>
    <i r="1">
      <x v="6"/>
    </i>
    <i t="default">
      <x v="2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ANTIDA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B940C-6038-4B60-AA99-980F0BC03EF3}" name="TablaDinámica6" cacheId="24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73:J86" firstHeaderRow="1" firstDataRow="1" firstDataCol="1"/>
  <pivotFields count="6">
    <pivotField compact="0" outline="0" showAll="0"/>
    <pivotField compact="0" outline="0" showAll="0"/>
    <pivotField axis="axisRow" compact="0" outline="0" showAll="0">
      <items count="13">
        <item x="3"/>
        <item x="6"/>
        <item x="11"/>
        <item x="2"/>
        <item x="0"/>
        <item x="8"/>
        <item x="10"/>
        <item x="9"/>
        <item x="1"/>
        <item x="4"/>
        <item x="5"/>
        <item x="7"/>
        <item t="default"/>
      </items>
    </pivotField>
    <pivotField compact="0" outline="0" showAll="0"/>
    <pivotField dataField="1" compact="0" outline="0" showAll="0">
      <items count="27">
        <item x="15"/>
        <item x="13"/>
        <item x="0"/>
        <item x="14"/>
        <item x="1"/>
        <item x="21"/>
        <item x="22"/>
        <item x="16"/>
        <item x="17"/>
        <item x="2"/>
        <item x="25"/>
        <item x="24"/>
        <item x="3"/>
        <item x="23"/>
        <item x="4"/>
        <item x="5"/>
        <item x="6"/>
        <item x="19"/>
        <item x="8"/>
        <item x="11"/>
        <item x="12"/>
        <item x="20"/>
        <item x="18"/>
        <item x="10"/>
        <item x="7"/>
        <item x="9"/>
        <item t="default"/>
      </items>
    </pivotField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Promedio de LOCALIDADES VENDIDAS" fld="4" subtotal="average" baseField="0" baseItem="0"/>
  </dataFields>
  <formats count="2">
    <format dxfId="21">
      <pivotArea grandRow="1" outline="0" collapsedLevelsAreSubtotals="1" fieldPosition="0"/>
    </format>
    <format dxfId="22">
      <pivotArea outline="0" fieldPosition="0">
        <references count="1"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9A709-16CF-44E6-86A3-6202AE36C0F4}" name="TablaDinámica5" cacheId="24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73:F87" firstHeaderRow="1" firstDataRow="2" firstDataCol="1"/>
  <pivotFields count="6">
    <pivotField compact="0" outline="0" showAll="0"/>
    <pivotField dataField="1" compact="0" outline="0" showAll="0"/>
    <pivotField axis="axisRow" compact="0" outline="0" showAll="0">
      <items count="13">
        <item x="3"/>
        <item x="6"/>
        <item x="11"/>
        <item x="2"/>
        <item x="0"/>
        <item x="8"/>
        <item x="10"/>
        <item x="9"/>
        <item x="1"/>
        <item x="4"/>
        <item x="5"/>
        <item x="7"/>
        <item t="default"/>
      </items>
    </pivotField>
    <pivotField axis="axisCol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ELICUL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E7D03-1654-4F9F-A75E-9103A2A7625C}" name="TablaDinámica7" cacheId="30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99:C129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30">
        <item x="3"/>
        <item x="2"/>
        <item x="17"/>
        <item x="25"/>
        <item x="0"/>
        <item x="14"/>
        <item x="18"/>
        <item x="20"/>
        <item x="9"/>
        <item x="12"/>
        <item x="27"/>
        <item x="7"/>
        <item x="4"/>
        <item x="24"/>
        <item x="10"/>
        <item x="13"/>
        <item x="23"/>
        <item x="11"/>
        <item x="21"/>
        <item x="19"/>
        <item x="16"/>
        <item x="5"/>
        <item x="15"/>
        <item x="6"/>
        <item x="1"/>
        <item x="26"/>
        <item x="22"/>
        <item x="8"/>
        <item x="28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" outline="0" showAll="0"/>
    <pivotField compact="0" numFmtId="182" outline="0" showAll="0"/>
    <pivotField compact="0" numFmtId="184" outline="0" showAll="0"/>
    <pivotField dataField="1" compact="0" numFmtId="184" outline="0"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a de Total Neto" fld="11" baseField="0" baseItem="0" numFmtId="184"/>
  </dataFields>
  <formats count="10">
    <format dxfId="11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3">
      <pivotArea field="2" type="button" dataOnly="0" labelOnly="1" outline="0" axis="axisRow" fieldPosition="0"/>
    </format>
    <format dxfId="14">
      <pivotArea dataOnly="0" labelOnly="1" outline="0" axis="axisValues" fieldPosition="0"/>
    </format>
    <format dxfId="15">
      <pivotArea field="2" type="button" dataOnly="0" labelOnly="1" outline="0" axis="axisRow" fieldPosition="0"/>
    </format>
    <format dxfId="16">
      <pivotArea dataOnly="0" labelOnly="1" outline="0" axis="axisValues" fieldPosition="0"/>
    </format>
    <format dxfId="17">
      <pivotArea grandRow="1" outline="0" collapsedLevelsAreSubtotals="1" fieldPosition="0"/>
    </format>
    <format dxfId="18">
      <pivotArea dataOnly="0" labelOnly="1" grandRow="1" outline="0" fieldPosition="0"/>
    </format>
    <format dxfId="19">
      <pivotArea grandRow="1" outline="0" collapsedLevelsAreSubtotals="1" fieldPosition="0"/>
    </format>
    <format dxfId="2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A0FA9-CDFA-42B6-B2EC-17245EF776B5}" name="TablaDinámica8" cacheId="31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0:C43" firstHeaderRow="0" firstDataRow="1" firstDataCol="1"/>
  <pivotFields count="7">
    <pivotField compact="0" numFmtId="14" outline="0" showAll="0"/>
    <pivotField dataField="1" compact="0" outline="0" showAll="0"/>
    <pivotField axis="axisRow" compact="0" outline="0" showAll="0">
      <items count="11">
        <item x="1"/>
        <item h="1" x="7"/>
        <item h="1" x="0"/>
        <item h="1" x="9"/>
        <item h="1" x="2"/>
        <item h="1" x="5"/>
        <item h="1" x="6"/>
        <item h="1" x="3"/>
        <item x="4"/>
        <item h="1" x="8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outline="0" showAll="0">
      <items count="4">
        <item x="0"/>
        <item h="1" x="1"/>
        <item h="1" x="2"/>
        <item t="default"/>
      </items>
    </pivotField>
  </pivotFields>
  <rowFields count="1">
    <field x="2"/>
  </rowFields>
  <rowItems count="3">
    <i>
      <x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Factura" fld="1" subtotal="count" baseField="0" baseItem="0"/>
    <dataField name="Suma de Importe Total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3CF283E1-8BB4-4E9E-8117-F2C8EE126B02}" sourceName="Producto">
  <pivotTables>
    <pivotTable tabId="26" name="TablaDinámica8"/>
  </pivotTables>
  <data>
    <tabular pivotCacheId="86418878">
      <items count="10">
        <i x="1" s="1"/>
        <i x="0"/>
        <i x="9"/>
        <i x="2"/>
        <i x="5"/>
        <i x="6"/>
        <i x="4" s="1"/>
        <i x="8"/>
        <i x="7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F1FC0953-8FEB-4CAF-8E71-400B14BAA586}" sourceName="Sucursal">
  <pivotTables>
    <pivotTable tabId="26" name="TablaDinámica8"/>
  </pivotTables>
  <data>
    <tabular pivotCacheId="86418878">
      <items count="3">
        <i x="0" s="1"/>
        <i x="1"/>
        <i x="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cio" xr10:uid="{1C00CC04-4561-4612-8CB9-59FD7006B68E}" sourceName="Precio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lindrada__cc_" xr10:uid="{6E68C5AB-751C-463F-836A-5EE92888F385}" sourceName="Cilindrada (cc)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cio" xr10:uid="{2A121514-61E1-4BD8-AA3F-A11364D052B6}" cache="SegmentaciónDeDatos_Precio" caption="Precio" startItem="3" rowHeight="228600"/>
  <slicer name="Cilindrada (cc)" xr10:uid="{48644191-B6E3-4C89-A57A-E2D29C5F485A}" cache="SegmentaciónDeDatos_Cilindrada__cc_" caption="Cilindrada (cc)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" xr10:uid="{EF361DDC-29DB-45AE-ACFF-FFE14CE9F034}" cache="SegmentaciónDeDatos_Producto" caption="Producto" rowHeight="228600"/>
  <slicer name="Sucursal" xr10:uid="{2919CDCE-1F89-4274-BAEB-F654FE6EDA0A}" cache="SegmentaciónDeDatos_Sucursal" caption="Sucursal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04648-67CC-49AB-8436-70185C62D612}" name="Tabla2" displayName="Tabla2" ref="A1:C21" totalsRowShown="0" headerRowDxfId="6" headerRowBorderDxfId="4" tableBorderDxfId="5" totalsRowBorderDxfId="3" headerRowCellStyle="Normal 3">
  <autoFilter ref="A1:C21" xr:uid="{E5604648-67CC-49AB-8436-70185C62D612}">
    <filterColumn colId="1">
      <filters>
        <filter val="5299"/>
        <filter val="5599"/>
        <filter val="5999"/>
      </filters>
    </filterColumn>
    <filterColumn colId="2">
      <filters>
        <filter val="123"/>
        <filter val="248"/>
        <filter val="278"/>
        <filter val="292"/>
        <filter val="300"/>
        <filter val="321"/>
        <filter val="373"/>
        <filter val="399"/>
        <filter val="471"/>
        <filter val="659"/>
        <filter val="744"/>
        <filter val="749"/>
        <filter val="765"/>
        <filter val="798"/>
        <filter val="955"/>
        <filter val="999"/>
      </filters>
    </filterColumn>
  </autoFilter>
  <tableColumns count="3">
    <tableColumn id="1" xr3:uid="{2715D18A-78D1-4098-84CD-BDF468F926DC}" name="Modelo" dataDxfId="2"/>
    <tableColumn id="2" xr3:uid="{4B79E308-3610-47FF-8537-3BC326B17F0B}" name="Precio" dataDxfId="1"/>
    <tableColumn id="3" xr3:uid="{92E92470-37BD-4D72-AACD-7E1C90C72CF5}" name="Cilindrada (cc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7857-5948-45BA-88CE-BE69123ED198}">
  <dimension ref="A1:RAI1913"/>
  <sheetViews>
    <sheetView zoomScale="175" zoomScaleNormal="175" workbookViewId="0">
      <selection activeCell="A3" sqref="A3:D6"/>
    </sheetView>
  </sheetViews>
  <sheetFormatPr defaultColWidth="11.42578125" defaultRowHeight="14.45"/>
  <cols>
    <col min="1" max="1" width="15.5703125" style="53" bestFit="1" customWidth="1"/>
    <col min="2" max="235" width="15.5703125" style="53" customWidth="1"/>
    <col min="236" max="237" width="11.5703125" style="53"/>
    <col min="238" max="238" width="67.42578125" style="53" bestFit="1" customWidth="1"/>
    <col min="239" max="239" width="12.140625" style="53" bestFit="1" customWidth="1"/>
    <col min="240" max="12201" width="11.5703125" style="53"/>
    <col min="12202" max="12202" width="39.5703125" style="53" customWidth="1"/>
    <col min="12203" max="12203" width="13" style="53" customWidth="1"/>
    <col min="12204" max="16384" width="11.5703125" style="53"/>
  </cols>
  <sheetData>
    <row r="1" spans="1:4">
      <c r="A1" s="113" t="s">
        <v>0</v>
      </c>
      <c r="B1" s="114"/>
      <c r="C1" s="114"/>
      <c r="D1" s="115"/>
    </row>
    <row r="2" spans="1:4">
      <c r="A2" s="54" t="s">
        <v>1</v>
      </c>
      <c r="B2" s="113" t="s">
        <v>2</v>
      </c>
      <c r="C2" s="114"/>
      <c r="D2" s="115"/>
    </row>
    <row r="3" spans="1:4" ht="15">
      <c r="A3" s="116" t="s">
        <v>3</v>
      </c>
      <c r="B3" s="117"/>
      <c r="C3" s="117"/>
      <c r="D3" s="118"/>
    </row>
    <row r="4" spans="1:4">
      <c r="A4" s="116"/>
      <c r="B4" s="117"/>
      <c r="C4" s="117"/>
      <c r="D4" s="118"/>
    </row>
    <row r="5" spans="1:4">
      <c r="A5" s="116"/>
      <c r="B5" s="117"/>
      <c r="C5" s="117"/>
      <c r="D5" s="118"/>
    </row>
    <row r="6" spans="1:4">
      <c r="A6" s="116"/>
      <c r="B6" s="117"/>
      <c r="C6" s="117"/>
      <c r="D6" s="118"/>
    </row>
    <row r="190" spans="237:239">
      <c r="IC190" s="55"/>
      <c r="IE190" s="55"/>
    </row>
    <row r="192" spans="237:239" ht="14.45" customHeight="1"/>
    <row r="202" spans="238:238">
      <c r="ID202" s="56"/>
    </row>
    <row r="1900" spans="12201:12203">
      <c r="RAH1900" s="57" t="s">
        <v>4</v>
      </c>
    </row>
    <row r="1901" spans="12201:12203">
      <c r="RAH1901" s="58" t="str">
        <f ca="1">IF(RAH1901=0,IF('Ejercicio 2'!F3=0,0,TEXT(NOW(),"dd/mm/aaaa")&amp;"  a las  "&amp;TEXT(NOW(),"hh:mm:ss")),RAH1901)</f>
        <v>19/02/2026  a las  18:54:12</v>
      </c>
    </row>
    <row r="1903" spans="12201:12203">
      <c r="RAG1903" s="59">
        <f ca="1">IF(A3=RAI1904,RAG1903,NOW())</f>
        <v>46072.775977314814</v>
      </c>
      <c r="RAH1903" s="57" t="s">
        <v>5</v>
      </c>
      <c r="RAI1903" s="60" t="s">
        <v>6</v>
      </c>
    </row>
    <row r="1904" spans="12201:12203">
      <c r="RAG1904" s="60"/>
      <c r="RAH1904" s="67" t="str">
        <f ca="1">IF(RAG1903=0,"-",IF(A3=RAI1904,RAH1904,RAH1904&amp;"👉  "&amp;TEXT(RAG1903,"dd/mm/aaaa hh:mm:ss")&amp;".-- "&amp;" --&gt;  "&amp;"("&amp;A3&amp;")"))</f>
        <v>0👉  19/02/2026 18:37:12.--  --&gt;  (Luciano Gabriel Escalante, )👉  19/02/2026 18:37:24.--  --&gt;  (Luciano Gabriel Escalante, 912-1939, Sosa Omar)</v>
      </c>
      <c r="RAI1904" s="60" t="str">
        <f ca="1">IF(A3=RAI1904,RAI1904,A3)</f>
        <v>Luciano Gabriel Escalante, 912-1939, Sosa Omar</v>
      </c>
    </row>
    <row r="1905" spans="12201:12203">
      <c r="RAG1905" s="60"/>
      <c r="RAH1905" s="67"/>
      <c r="RAI1905" s="60"/>
    </row>
    <row r="1906" spans="12201:12203">
      <c r="RAG1906" s="60"/>
      <c r="RAH1906" s="67"/>
      <c r="RAI1906" s="60"/>
    </row>
    <row r="1907" spans="12201:12203">
      <c r="RAG1907" s="60"/>
      <c r="RAH1907" s="67"/>
      <c r="RAI1907" s="60"/>
    </row>
    <row r="1908" spans="12201:12203">
      <c r="RAG1908" s="60"/>
      <c r="RAH1908" s="67"/>
      <c r="RAI1908" s="60"/>
    </row>
    <row r="1909" spans="12201:12203">
      <c r="RAG1909" s="60"/>
      <c r="RAH1909" s="67"/>
      <c r="RAI1909" s="60"/>
    </row>
    <row r="1910" spans="12201:12203">
      <c r="RAG1910" s="60"/>
      <c r="RAH1910" s="67"/>
      <c r="RAI1910" s="60"/>
    </row>
    <row r="1911" spans="12201:12203">
      <c r="RAG1911" s="60"/>
      <c r="RAH1911" s="67"/>
      <c r="RAI1911" s="60"/>
    </row>
    <row r="1912" spans="12201:12203">
      <c r="RAG1912" s="60"/>
      <c r="RAH1912" s="67"/>
      <c r="RAI1912" s="60"/>
    </row>
    <row r="1913" spans="12201:12203">
      <c r="RAG1913" s="60"/>
      <c r="RAH1913" s="67"/>
      <c r="RAI1913" s="60"/>
    </row>
  </sheetData>
  <sheetProtection algorithmName="SHA-512" hashValue="XJiwlxhQwtvnVWXNFnu5z2N1Mss/XaZYY/Rp5KNLTXHH5G8hYiBmgY8q6UAuTDAIbfzIUJkgNoaugJPMug4m8g==" saltValue="eFx+H9ChSN2ObXOeLQKBvw==" spinCount="100000" sheet="1" objects="1" scenarios="1" selectLockedCells="1"/>
  <mergeCells count="4">
    <mergeCell ref="A1:D1"/>
    <mergeCell ref="B2:D2"/>
    <mergeCell ref="A3:D6"/>
    <mergeCell ref="RAH1904:RAH1913"/>
  </mergeCells>
  <conditionalFormatting sqref="RAH1900">
    <cfRule type="expression" dxfId="10" priority="2">
      <formula>$RAH$1901&lt;&gt;0</formula>
    </cfRule>
  </conditionalFormatting>
  <conditionalFormatting sqref="RAH1901">
    <cfRule type="cellIs" dxfId="9" priority="3" operator="equal">
      <formula>0</formula>
    </cfRule>
  </conditionalFormatting>
  <conditionalFormatting sqref="RAH1903">
    <cfRule type="expression" dxfId="8" priority="1">
      <formula>$RAH$1904&lt;&gt;0</formula>
    </cfRule>
  </conditionalFormatting>
  <conditionalFormatting sqref="RAH1904:RAH1913">
    <cfRule type="cellIs" dxfId="7" priority="4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882"/>
  <sheetViews>
    <sheetView topLeftCell="A95" zoomScaleNormal="100" workbookViewId="0">
      <selection activeCell="H80" sqref="H80"/>
    </sheetView>
  </sheetViews>
  <sheetFormatPr defaultColWidth="11.42578125" defaultRowHeight="12.6"/>
  <cols>
    <col min="1" max="1" width="18.85546875" customWidth="1"/>
    <col min="2" max="2" width="14.85546875" customWidth="1"/>
    <col min="3" max="3" width="7" customWidth="1"/>
    <col min="4" max="4" width="9.5703125" customWidth="1"/>
    <col min="5" max="5" width="13" customWidth="1"/>
    <col min="6" max="6" width="12" customWidth="1"/>
    <col min="7" max="7" width="6.5703125" customWidth="1"/>
    <col min="8" max="8" width="12.42578125" customWidth="1"/>
    <col min="9" max="9" width="20.85546875" customWidth="1"/>
    <col min="10" max="10" width="18.85546875" customWidth="1"/>
    <col min="11" max="11" width="20.85546875" customWidth="1"/>
    <col min="12" max="12" width="18.85546875" customWidth="1"/>
    <col min="13" max="13" width="20.85546875" customWidth="1"/>
    <col min="14" max="14" width="23.7109375" customWidth="1"/>
    <col min="15" max="15" width="25.85546875" customWidth="1"/>
    <col min="16" max="21" width="5" customWidth="1"/>
    <col min="22" max="24" width="6" customWidth="1"/>
    <col min="25" max="25" width="12.42578125" bestFit="1" customWidth="1"/>
    <col min="26" max="26" width="10.28515625" bestFit="1" customWidth="1"/>
    <col min="27" max="27" width="12.42578125" bestFit="1" customWidth="1"/>
  </cols>
  <sheetData>
    <row r="3" spans="1:7" ht="75" customHeight="1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>
      <c r="A4" s="119" t="s">
        <v>14</v>
      </c>
      <c r="B4" s="120" t="s">
        <v>15</v>
      </c>
      <c r="C4" s="121">
        <v>42858</v>
      </c>
      <c r="D4" s="119" t="s">
        <v>16</v>
      </c>
      <c r="E4" s="119" t="s">
        <v>17</v>
      </c>
      <c r="F4" s="122">
        <v>12</v>
      </c>
      <c r="G4" s="7">
        <v>5200</v>
      </c>
    </row>
    <row r="5" spans="1:7">
      <c r="A5" s="119" t="s">
        <v>14</v>
      </c>
      <c r="B5" s="120" t="s">
        <v>18</v>
      </c>
      <c r="C5" s="121">
        <v>42859</v>
      </c>
      <c r="D5" s="119" t="s">
        <v>19</v>
      </c>
      <c r="E5" s="119" t="s">
        <v>20</v>
      </c>
      <c r="F5" s="122">
        <v>23</v>
      </c>
      <c r="G5" s="7">
        <v>6400</v>
      </c>
    </row>
    <row r="6" spans="1:7">
      <c r="A6" s="119" t="s">
        <v>21</v>
      </c>
      <c r="B6" s="120" t="s">
        <v>22</v>
      </c>
      <c r="C6" s="121">
        <v>42860</v>
      </c>
      <c r="D6" s="119" t="s">
        <v>23</v>
      </c>
      <c r="E6" s="119" t="s">
        <v>24</v>
      </c>
      <c r="F6" s="122">
        <v>12</v>
      </c>
      <c r="G6" s="7">
        <v>2600</v>
      </c>
    </row>
    <row r="7" spans="1:7">
      <c r="A7" s="119" t="s">
        <v>21</v>
      </c>
      <c r="B7" s="120" t="s">
        <v>22</v>
      </c>
      <c r="C7" s="121">
        <v>42860</v>
      </c>
      <c r="D7" s="119" t="s">
        <v>23</v>
      </c>
      <c r="E7" s="119" t="s">
        <v>25</v>
      </c>
      <c r="F7" s="122">
        <v>32</v>
      </c>
      <c r="G7" s="7">
        <v>1500</v>
      </c>
    </row>
    <row r="8" spans="1:7">
      <c r="A8" s="119" t="s">
        <v>14</v>
      </c>
      <c r="B8" s="120" t="s">
        <v>26</v>
      </c>
      <c r="C8" s="121">
        <v>42860</v>
      </c>
      <c r="D8" s="119" t="s">
        <v>23</v>
      </c>
      <c r="E8" s="119" t="s">
        <v>17</v>
      </c>
      <c r="F8" s="122">
        <v>43</v>
      </c>
      <c r="G8" s="7">
        <v>2700</v>
      </c>
    </row>
    <row r="9" spans="1:7">
      <c r="A9" s="119" t="s">
        <v>14</v>
      </c>
      <c r="B9" s="120" t="s">
        <v>15</v>
      </c>
      <c r="C9" s="121">
        <v>42865</v>
      </c>
      <c r="D9" s="119" t="s">
        <v>16</v>
      </c>
      <c r="E9" s="119" t="s">
        <v>27</v>
      </c>
      <c r="F9" s="122">
        <v>44</v>
      </c>
      <c r="G9" s="7">
        <v>3400</v>
      </c>
    </row>
    <row r="10" spans="1:7">
      <c r="A10" s="119" t="s">
        <v>28</v>
      </c>
      <c r="B10" s="120" t="s">
        <v>29</v>
      </c>
      <c r="C10" s="121">
        <v>42871</v>
      </c>
      <c r="D10" s="119" t="s">
        <v>30</v>
      </c>
      <c r="E10" s="119" t="s">
        <v>17</v>
      </c>
      <c r="F10" s="122">
        <v>33</v>
      </c>
      <c r="G10" s="7">
        <v>6500</v>
      </c>
    </row>
    <row r="11" spans="1:7">
      <c r="A11" s="119" t="s">
        <v>28</v>
      </c>
      <c r="B11" s="120" t="s">
        <v>31</v>
      </c>
      <c r="C11" s="121">
        <v>42867</v>
      </c>
      <c r="D11" s="119" t="s">
        <v>23</v>
      </c>
      <c r="E11" s="119" t="s">
        <v>27</v>
      </c>
      <c r="F11" s="122">
        <v>26</v>
      </c>
      <c r="G11" s="7">
        <v>8600</v>
      </c>
    </row>
    <row r="12" spans="1:7">
      <c r="A12" s="119" t="s">
        <v>21</v>
      </c>
      <c r="B12" s="120" t="s">
        <v>22</v>
      </c>
      <c r="C12" s="121">
        <v>42860</v>
      </c>
      <c r="D12" s="119" t="s">
        <v>23</v>
      </c>
      <c r="E12" s="119" t="s">
        <v>25</v>
      </c>
      <c r="F12" s="122">
        <v>29</v>
      </c>
      <c r="G12" s="7">
        <v>3100</v>
      </c>
    </row>
    <row r="13" spans="1:7">
      <c r="A13" s="119" t="s">
        <v>21</v>
      </c>
      <c r="B13" s="120" t="s">
        <v>22</v>
      </c>
      <c r="C13" s="121">
        <v>42863</v>
      </c>
      <c r="D13" s="119" t="s">
        <v>32</v>
      </c>
      <c r="E13" s="119" t="s">
        <v>24</v>
      </c>
      <c r="F13" s="122">
        <v>12</v>
      </c>
      <c r="G13" s="7">
        <v>3700</v>
      </c>
    </row>
    <row r="14" spans="1:7">
      <c r="A14" s="119" t="s">
        <v>14</v>
      </c>
      <c r="B14" s="120" t="s">
        <v>15</v>
      </c>
      <c r="C14" s="121">
        <v>42863</v>
      </c>
      <c r="D14" s="119" t="s">
        <v>32</v>
      </c>
      <c r="E14" s="119" t="s">
        <v>33</v>
      </c>
      <c r="F14" s="122">
        <v>54</v>
      </c>
      <c r="G14" s="7">
        <v>1500</v>
      </c>
    </row>
    <row r="15" spans="1:7">
      <c r="A15" s="119" t="s">
        <v>14</v>
      </c>
      <c r="B15" s="120" t="s">
        <v>15</v>
      </c>
      <c r="C15" s="121">
        <v>42865</v>
      </c>
      <c r="D15" s="119" t="s">
        <v>16</v>
      </c>
      <c r="E15" s="119" t="s">
        <v>27</v>
      </c>
      <c r="F15" s="122">
        <v>32</v>
      </c>
      <c r="G15" s="7">
        <v>2640</v>
      </c>
    </row>
    <row r="16" spans="1:7">
      <c r="A16" s="119" t="s">
        <v>14</v>
      </c>
      <c r="B16" s="120" t="s">
        <v>18</v>
      </c>
      <c r="C16" s="121">
        <v>42865</v>
      </c>
      <c r="D16" s="119" t="s">
        <v>16</v>
      </c>
      <c r="E16" s="119" t="s">
        <v>17</v>
      </c>
      <c r="F16" s="122">
        <v>22</v>
      </c>
      <c r="G16" s="7">
        <v>3780</v>
      </c>
    </row>
    <row r="17" spans="1:9">
      <c r="A17" s="119" t="s">
        <v>21</v>
      </c>
      <c r="B17" s="120" t="s">
        <v>22</v>
      </c>
      <c r="C17" s="121">
        <v>42863</v>
      </c>
      <c r="D17" s="119" t="s">
        <v>32</v>
      </c>
      <c r="E17" s="119" t="s">
        <v>24</v>
      </c>
      <c r="F17" s="122">
        <v>12</v>
      </c>
      <c r="G17" s="7">
        <v>1890</v>
      </c>
    </row>
    <row r="18" spans="1:9">
      <c r="A18" s="119" t="s">
        <v>21</v>
      </c>
      <c r="B18" s="120" t="s">
        <v>22</v>
      </c>
      <c r="C18" s="121">
        <v>42868</v>
      </c>
      <c r="D18" s="119" t="s">
        <v>34</v>
      </c>
      <c r="E18" s="119" t="s">
        <v>17</v>
      </c>
      <c r="F18" s="122">
        <v>65</v>
      </c>
      <c r="G18" s="7">
        <v>1100</v>
      </c>
    </row>
    <row r="19" spans="1:9">
      <c r="A19" s="119" t="s">
        <v>14</v>
      </c>
      <c r="B19" s="120" t="s">
        <v>18</v>
      </c>
      <c r="C19" s="121">
        <v>42875</v>
      </c>
      <c r="D19" s="119" t="s">
        <v>34</v>
      </c>
      <c r="E19" s="119" t="s">
        <v>33</v>
      </c>
      <c r="F19" s="122">
        <v>33</v>
      </c>
      <c r="G19" s="7">
        <v>3450</v>
      </c>
    </row>
    <row r="20" spans="1:9">
      <c r="A20" s="119" t="s">
        <v>14</v>
      </c>
      <c r="B20" s="120" t="s">
        <v>26</v>
      </c>
      <c r="C20" s="121">
        <v>42867</v>
      </c>
      <c r="D20" s="119" t="s">
        <v>23</v>
      </c>
      <c r="E20" s="119" t="s">
        <v>17</v>
      </c>
      <c r="F20" s="122">
        <v>23</v>
      </c>
      <c r="G20" s="7">
        <v>7890</v>
      </c>
    </row>
    <row r="21" spans="1:9">
      <c r="A21" s="119" t="s">
        <v>28</v>
      </c>
      <c r="B21" s="120" t="s">
        <v>29</v>
      </c>
      <c r="C21" s="121">
        <v>42867</v>
      </c>
      <c r="D21" s="119" t="s">
        <v>23</v>
      </c>
      <c r="E21" s="119" t="s">
        <v>24</v>
      </c>
      <c r="F21" s="122">
        <v>43</v>
      </c>
      <c r="G21" s="7">
        <v>3987</v>
      </c>
    </row>
    <row r="22" spans="1:9">
      <c r="A22" s="119" t="s">
        <v>14</v>
      </c>
      <c r="B22" s="120" t="s">
        <v>15</v>
      </c>
      <c r="C22" s="121">
        <v>42868</v>
      </c>
      <c r="D22" s="119" t="s">
        <v>34</v>
      </c>
      <c r="E22" s="119" t="s">
        <v>25</v>
      </c>
      <c r="F22" s="122">
        <v>34</v>
      </c>
      <c r="G22" s="7">
        <v>8905</v>
      </c>
    </row>
    <row r="23" spans="1:9">
      <c r="A23" s="119" t="s">
        <v>21</v>
      </c>
      <c r="B23" s="120" t="s">
        <v>22</v>
      </c>
      <c r="C23" s="121">
        <v>42868</v>
      </c>
      <c r="D23" s="119" t="s">
        <v>34</v>
      </c>
      <c r="E23" s="119" t="s">
        <v>17</v>
      </c>
      <c r="F23" s="122">
        <v>65</v>
      </c>
      <c r="G23" s="7">
        <v>8947</v>
      </c>
    </row>
    <row r="24" spans="1:9">
      <c r="A24" s="119" t="s">
        <v>14</v>
      </c>
      <c r="B24" s="120" t="s">
        <v>15</v>
      </c>
      <c r="C24" s="121">
        <v>42868</v>
      </c>
      <c r="D24" s="119" t="s">
        <v>34</v>
      </c>
      <c r="E24" s="119" t="s">
        <v>17</v>
      </c>
      <c r="F24" s="122">
        <v>45</v>
      </c>
      <c r="G24" s="7">
        <v>3297</v>
      </c>
    </row>
    <row r="25" spans="1:9">
      <c r="A25" s="119" t="s">
        <v>14</v>
      </c>
      <c r="B25" s="120" t="s">
        <v>15</v>
      </c>
      <c r="C25" s="121">
        <v>42870</v>
      </c>
      <c r="D25" s="119" t="s">
        <v>32</v>
      </c>
      <c r="E25" s="119" t="s">
        <v>24</v>
      </c>
      <c r="F25" s="122">
        <v>34</v>
      </c>
      <c r="G25" s="7">
        <v>14008</v>
      </c>
    </row>
    <row r="26" spans="1:9">
      <c r="A26" s="119" t="s">
        <v>14</v>
      </c>
      <c r="B26" s="120" t="s">
        <v>15</v>
      </c>
      <c r="C26" s="121">
        <v>42870</v>
      </c>
      <c r="D26" s="119" t="s">
        <v>32</v>
      </c>
      <c r="E26" s="119" t="s">
        <v>25</v>
      </c>
      <c r="F26" s="122">
        <v>23</v>
      </c>
      <c r="G26" s="7">
        <v>12870</v>
      </c>
    </row>
    <row r="27" spans="1:9">
      <c r="A27" s="119" t="s">
        <v>28</v>
      </c>
      <c r="B27" s="120" t="s">
        <v>29</v>
      </c>
      <c r="C27" s="121">
        <v>42871</v>
      </c>
      <c r="D27" s="119" t="s">
        <v>30</v>
      </c>
      <c r="E27" s="119" t="s">
        <v>17</v>
      </c>
      <c r="F27" s="122">
        <v>27</v>
      </c>
      <c r="G27" s="7">
        <v>3987</v>
      </c>
    </row>
    <row r="28" spans="1:9">
      <c r="A28" s="119" t="s">
        <v>14</v>
      </c>
      <c r="B28" s="120" t="s">
        <v>15</v>
      </c>
      <c r="C28" s="121">
        <v>42872</v>
      </c>
      <c r="D28" s="119" t="s">
        <v>16</v>
      </c>
      <c r="E28" s="119" t="s">
        <v>33</v>
      </c>
      <c r="F28" s="122">
        <v>12</v>
      </c>
      <c r="G28" s="7">
        <v>17925</v>
      </c>
    </row>
    <row r="30" spans="1:9">
      <c r="A30" s="85" t="s">
        <v>35</v>
      </c>
      <c r="C30" s="85" t="s">
        <v>11</v>
      </c>
    </row>
    <row r="31" spans="1:9">
      <c r="A31" s="85" t="s">
        <v>7</v>
      </c>
      <c r="B31" s="85" t="s">
        <v>9</v>
      </c>
      <c r="C31" t="s">
        <v>27</v>
      </c>
      <c r="D31" t="s">
        <v>24</v>
      </c>
      <c r="E31" t="s">
        <v>25</v>
      </c>
      <c r="F31" t="s">
        <v>17</v>
      </c>
      <c r="G31" t="s">
        <v>33</v>
      </c>
      <c r="H31" t="s">
        <v>20</v>
      </c>
      <c r="I31" t="s">
        <v>36</v>
      </c>
    </row>
    <row r="32" spans="1:9">
      <c r="A32" t="s">
        <v>28</v>
      </c>
      <c r="B32" s="8">
        <v>42867</v>
      </c>
      <c r="C32" s="86">
        <v>26</v>
      </c>
      <c r="D32" s="86">
        <v>43</v>
      </c>
      <c r="E32" s="86"/>
      <c r="F32" s="86"/>
      <c r="G32" s="86"/>
      <c r="H32" s="86"/>
      <c r="I32" s="86">
        <v>69</v>
      </c>
    </row>
    <row r="33" spans="1:9">
      <c r="B33" s="8">
        <v>42871</v>
      </c>
      <c r="C33" s="86"/>
      <c r="D33" s="86"/>
      <c r="E33" s="86"/>
      <c r="F33" s="86">
        <v>60</v>
      </c>
      <c r="G33" s="86"/>
      <c r="H33" s="86"/>
      <c r="I33" s="86">
        <v>60</v>
      </c>
    </row>
    <row r="34" spans="1:9">
      <c r="A34" t="s">
        <v>37</v>
      </c>
      <c r="C34" s="86">
        <v>26</v>
      </c>
      <c r="D34" s="86">
        <v>43</v>
      </c>
      <c r="E34" s="86"/>
      <c r="F34" s="86">
        <v>60</v>
      </c>
      <c r="G34" s="86"/>
      <c r="H34" s="86"/>
      <c r="I34" s="86">
        <v>129</v>
      </c>
    </row>
    <row r="35" spans="1:9">
      <c r="A35" t="s">
        <v>14</v>
      </c>
      <c r="B35" s="8">
        <v>42858</v>
      </c>
      <c r="C35" s="86"/>
      <c r="D35" s="86"/>
      <c r="E35" s="86"/>
      <c r="F35" s="86">
        <v>12</v>
      </c>
      <c r="G35" s="86"/>
      <c r="H35" s="86"/>
      <c r="I35" s="86">
        <v>12</v>
      </c>
    </row>
    <row r="36" spans="1:9">
      <c r="B36" s="8">
        <v>42859</v>
      </c>
      <c r="C36" s="86"/>
      <c r="D36" s="86"/>
      <c r="E36" s="86"/>
      <c r="F36" s="86"/>
      <c r="G36" s="86"/>
      <c r="H36" s="86">
        <v>23</v>
      </c>
      <c r="I36" s="86">
        <v>23</v>
      </c>
    </row>
    <row r="37" spans="1:9">
      <c r="B37" s="8">
        <v>42860</v>
      </c>
      <c r="C37" s="86"/>
      <c r="D37" s="86"/>
      <c r="E37" s="86"/>
      <c r="F37" s="86">
        <v>43</v>
      </c>
      <c r="G37" s="86"/>
      <c r="H37" s="86"/>
      <c r="I37" s="86">
        <v>43</v>
      </c>
    </row>
    <row r="38" spans="1:9">
      <c r="B38" s="8">
        <v>42863</v>
      </c>
      <c r="C38" s="86"/>
      <c r="D38" s="86"/>
      <c r="E38" s="86"/>
      <c r="F38" s="86"/>
      <c r="G38" s="86">
        <v>54</v>
      </c>
      <c r="H38" s="86"/>
      <c r="I38" s="86">
        <v>54</v>
      </c>
    </row>
    <row r="39" spans="1:9">
      <c r="B39" s="8">
        <v>42865</v>
      </c>
      <c r="C39" s="86">
        <v>76</v>
      </c>
      <c r="D39" s="86"/>
      <c r="E39" s="86"/>
      <c r="F39" s="86">
        <v>22</v>
      </c>
      <c r="G39" s="86"/>
      <c r="H39" s="86"/>
      <c r="I39" s="86">
        <v>98</v>
      </c>
    </row>
    <row r="40" spans="1:9">
      <c r="B40" s="8">
        <v>42867</v>
      </c>
      <c r="C40" s="86"/>
      <c r="D40" s="86"/>
      <c r="E40" s="86"/>
      <c r="F40" s="86">
        <v>23</v>
      </c>
      <c r="G40" s="86"/>
      <c r="H40" s="86"/>
      <c r="I40" s="86">
        <v>23</v>
      </c>
    </row>
    <row r="41" spans="1:9">
      <c r="B41" s="8">
        <v>42868</v>
      </c>
      <c r="C41" s="86"/>
      <c r="D41" s="86"/>
      <c r="E41" s="86">
        <v>34</v>
      </c>
      <c r="F41" s="86">
        <v>45</v>
      </c>
      <c r="G41" s="86"/>
      <c r="H41" s="86"/>
      <c r="I41" s="86">
        <v>79</v>
      </c>
    </row>
    <row r="42" spans="1:9">
      <c r="B42" s="8">
        <v>42870</v>
      </c>
      <c r="C42" s="86"/>
      <c r="D42" s="86">
        <v>34</v>
      </c>
      <c r="E42" s="86">
        <v>23</v>
      </c>
      <c r="F42" s="86"/>
      <c r="G42" s="86"/>
      <c r="H42" s="86"/>
      <c r="I42" s="86">
        <v>57</v>
      </c>
    </row>
    <row r="43" spans="1:9">
      <c r="B43" s="8">
        <v>42872</v>
      </c>
      <c r="C43" s="86"/>
      <c r="D43" s="86"/>
      <c r="E43" s="86"/>
      <c r="F43" s="86"/>
      <c r="G43" s="86">
        <v>12</v>
      </c>
      <c r="H43" s="86"/>
      <c r="I43" s="86">
        <v>12</v>
      </c>
    </row>
    <row r="44" spans="1:9">
      <c r="B44" s="8">
        <v>42875</v>
      </c>
      <c r="C44" s="86"/>
      <c r="D44" s="86"/>
      <c r="E44" s="86"/>
      <c r="F44" s="86"/>
      <c r="G44" s="86">
        <v>33</v>
      </c>
      <c r="H44" s="86"/>
      <c r="I44" s="86">
        <v>33</v>
      </c>
    </row>
    <row r="45" spans="1:9">
      <c r="A45" t="s">
        <v>38</v>
      </c>
      <c r="C45" s="86">
        <v>76</v>
      </c>
      <c r="D45" s="86">
        <v>34</v>
      </c>
      <c r="E45" s="86">
        <v>57</v>
      </c>
      <c r="F45" s="86">
        <v>145</v>
      </c>
      <c r="G45" s="86">
        <v>99</v>
      </c>
      <c r="H45" s="86">
        <v>23</v>
      </c>
      <c r="I45" s="86">
        <v>434</v>
      </c>
    </row>
    <row r="46" spans="1:9">
      <c r="A46" t="s">
        <v>21</v>
      </c>
      <c r="B46" s="8">
        <v>42860</v>
      </c>
      <c r="C46" s="86"/>
      <c r="D46" s="86">
        <v>12</v>
      </c>
      <c r="E46" s="86">
        <v>61</v>
      </c>
      <c r="F46" s="86"/>
      <c r="G46" s="86"/>
      <c r="H46" s="86"/>
      <c r="I46" s="86">
        <v>73</v>
      </c>
    </row>
    <row r="47" spans="1:9">
      <c r="B47" s="8">
        <v>42863</v>
      </c>
      <c r="C47" s="86"/>
      <c r="D47" s="86">
        <v>24</v>
      </c>
      <c r="E47" s="86"/>
      <c r="F47" s="86"/>
      <c r="G47" s="86"/>
      <c r="H47" s="86"/>
      <c r="I47" s="86">
        <v>24</v>
      </c>
    </row>
    <row r="48" spans="1:9">
      <c r="B48" s="8">
        <v>42868</v>
      </c>
      <c r="C48" s="86"/>
      <c r="D48" s="86"/>
      <c r="E48" s="86"/>
      <c r="F48" s="86">
        <v>130</v>
      </c>
      <c r="G48" s="86"/>
      <c r="H48" s="86"/>
      <c r="I48" s="86">
        <v>130</v>
      </c>
    </row>
    <row r="49" spans="1:9">
      <c r="A49" t="s">
        <v>39</v>
      </c>
      <c r="C49" s="86"/>
      <c r="D49" s="86">
        <v>36</v>
      </c>
      <c r="E49" s="86">
        <v>61</v>
      </c>
      <c r="F49" s="86">
        <v>130</v>
      </c>
      <c r="G49" s="86"/>
      <c r="H49" s="86"/>
      <c r="I49" s="86">
        <v>227</v>
      </c>
    </row>
    <row r="50" spans="1:9">
      <c r="A50" t="s">
        <v>36</v>
      </c>
      <c r="C50" s="86">
        <v>102</v>
      </c>
      <c r="D50" s="86">
        <v>113</v>
      </c>
      <c r="E50" s="86">
        <v>118</v>
      </c>
      <c r="F50" s="86">
        <v>335</v>
      </c>
      <c r="G50" s="86">
        <v>99</v>
      </c>
      <c r="H50" s="86">
        <v>23</v>
      </c>
      <c r="I50" s="86">
        <v>790</v>
      </c>
    </row>
    <row r="53" spans="1:9">
      <c r="A53" s="85" t="s">
        <v>9</v>
      </c>
      <c r="B53" t="s">
        <v>40</v>
      </c>
    </row>
    <row r="55" spans="1:9">
      <c r="A55" s="85" t="s">
        <v>7</v>
      </c>
      <c r="B55" s="85" t="s">
        <v>8</v>
      </c>
      <c r="C55" t="s">
        <v>41</v>
      </c>
    </row>
    <row r="56" spans="1:9">
      <c r="A56" t="s">
        <v>28</v>
      </c>
      <c r="B56" t="s">
        <v>31</v>
      </c>
      <c r="C56" s="86">
        <v>8600</v>
      </c>
    </row>
    <row r="57" spans="1:9">
      <c r="B57" t="s">
        <v>29</v>
      </c>
      <c r="C57" s="86">
        <v>14474</v>
      </c>
    </row>
    <row r="58" spans="1:9">
      <c r="A58" t="s">
        <v>37</v>
      </c>
      <c r="C58" s="86">
        <v>23074</v>
      </c>
    </row>
    <row r="59" spans="1:9">
      <c r="A59" t="s">
        <v>14</v>
      </c>
      <c r="B59" t="s">
        <v>26</v>
      </c>
      <c r="C59" s="86">
        <v>10590</v>
      </c>
    </row>
    <row r="60" spans="1:9">
      <c r="B60" t="s">
        <v>18</v>
      </c>
      <c r="C60" s="86">
        <v>13630</v>
      </c>
    </row>
    <row r="61" spans="1:9">
      <c r="B61" t="s">
        <v>15</v>
      </c>
      <c r="C61" s="86">
        <v>69745</v>
      </c>
    </row>
    <row r="62" spans="1:9">
      <c r="A62" t="s">
        <v>38</v>
      </c>
      <c r="C62" s="86">
        <v>93965</v>
      </c>
    </row>
    <row r="63" spans="1:9">
      <c r="A63" t="s">
        <v>21</v>
      </c>
      <c r="B63" t="s">
        <v>22</v>
      </c>
      <c r="C63" s="86">
        <v>22837</v>
      </c>
    </row>
    <row r="64" spans="1:9">
      <c r="A64" t="s">
        <v>39</v>
      </c>
      <c r="C64" s="86">
        <v>22837</v>
      </c>
    </row>
    <row r="65" spans="1:8">
      <c r="A65" t="s">
        <v>36</v>
      </c>
      <c r="C65" s="86">
        <v>139876</v>
      </c>
    </row>
    <row r="70" spans="1:8">
      <c r="A70" s="87" t="s">
        <v>7</v>
      </c>
      <c r="B70" s="88" t="s">
        <v>40</v>
      </c>
    </row>
    <row r="72" spans="1:8">
      <c r="A72" s="87" t="s">
        <v>35</v>
      </c>
      <c r="B72" s="87" t="s">
        <v>8</v>
      </c>
      <c r="C72" s="88"/>
      <c r="D72" s="88"/>
      <c r="E72" s="88"/>
      <c r="F72" s="88"/>
      <c r="G72" s="88"/>
      <c r="H72" s="88"/>
    </row>
    <row r="73" spans="1:8">
      <c r="A73" s="87" t="s">
        <v>9</v>
      </c>
      <c r="B73" s="88" t="s">
        <v>26</v>
      </c>
      <c r="C73" s="88" t="s">
        <v>18</v>
      </c>
      <c r="D73" s="88" t="s">
        <v>15</v>
      </c>
      <c r="E73" s="88" t="s">
        <v>31</v>
      </c>
      <c r="F73" s="88" t="s">
        <v>29</v>
      </c>
      <c r="G73" s="88" t="s">
        <v>22</v>
      </c>
      <c r="H73" s="88" t="s">
        <v>36</v>
      </c>
    </row>
    <row r="74" spans="1:8">
      <c r="A74" s="8">
        <v>42858</v>
      </c>
      <c r="B74" s="88"/>
      <c r="C74" s="88"/>
      <c r="D74" s="88">
        <v>12</v>
      </c>
      <c r="E74" s="88"/>
      <c r="F74" s="88"/>
      <c r="G74" s="88"/>
      <c r="H74" s="88">
        <v>12</v>
      </c>
    </row>
    <row r="75" spans="1:8">
      <c r="A75" s="8">
        <v>42859</v>
      </c>
      <c r="B75" s="88"/>
      <c r="C75" s="88">
        <v>23</v>
      </c>
      <c r="D75" s="88"/>
      <c r="E75" s="88"/>
      <c r="F75" s="88"/>
      <c r="G75" s="88"/>
      <c r="H75" s="88">
        <v>23</v>
      </c>
    </row>
    <row r="76" spans="1:8">
      <c r="A76" s="8">
        <v>42860</v>
      </c>
      <c r="B76" s="88">
        <v>43</v>
      </c>
      <c r="C76" s="88"/>
      <c r="D76" s="88"/>
      <c r="E76" s="88"/>
      <c r="F76" s="88"/>
      <c r="G76" s="88">
        <v>73</v>
      </c>
      <c r="H76" s="88">
        <v>116</v>
      </c>
    </row>
    <row r="77" spans="1:8">
      <c r="A77" s="8">
        <v>42863</v>
      </c>
      <c r="B77" s="88"/>
      <c r="C77" s="88"/>
      <c r="D77" s="88">
        <v>54</v>
      </c>
      <c r="E77" s="88"/>
      <c r="F77" s="88"/>
      <c r="G77" s="88">
        <v>24</v>
      </c>
      <c r="H77" s="88">
        <v>78</v>
      </c>
    </row>
    <row r="78" spans="1:8">
      <c r="A78" s="8">
        <v>42865</v>
      </c>
      <c r="B78" s="88"/>
      <c r="C78" s="88">
        <v>22</v>
      </c>
      <c r="D78" s="88">
        <v>76</v>
      </c>
      <c r="E78" s="88"/>
      <c r="F78" s="88"/>
      <c r="G78" s="88"/>
      <c r="H78" s="88">
        <v>98</v>
      </c>
    </row>
    <row r="79" spans="1:8">
      <c r="A79" s="8">
        <v>42867</v>
      </c>
      <c r="B79" s="88">
        <v>23</v>
      </c>
      <c r="C79" s="88"/>
      <c r="D79" s="88"/>
      <c r="E79" s="88">
        <v>26</v>
      </c>
      <c r="F79" s="88">
        <v>43</v>
      </c>
      <c r="G79" s="88"/>
      <c r="H79" s="88">
        <v>92</v>
      </c>
    </row>
    <row r="80" spans="1:8">
      <c r="A80" s="8">
        <v>42868</v>
      </c>
      <c r="B80" s="88"/>
      <c r="C80" s="88"/>
      <c r="D80" s="88">
        <v>79</v>
      </c>
      <c r="E80" s="88"/>
      <c r="F80" s="88"/>
      <c r="G80" s="88">
        <v>130</v>
      </c>
      <c r="H80" s="88">
        <v>209</v>
      </c>
    </row>
    <row r="81" spans="1:8">
      <c r="A81" s="8">
        <v>42870</v>
      </c>
      <c r="B81" s="88"/>
      <c r="C81" s="88"/>
      <c r="D81" s="88">
        <v>57</v>
      </c>
      <c r="E81" s="88"/>
      <c r="F81" s="88"/>
      <c r="G81" s="88"/>
      <c r="H81" s="88">
        <v>57</v>
      </c>
    </row>
    <row r="82" spans="1:8">
      <c r="A82" s="8">
        <v>42871</v>
      </c>
      <c r="B82" s="88"/>
      <c r="C82" s="88"/>
      <c r="D82" s="88"/>
      <c r="E82" s="88"/>
      <c r="F82" s="88">
        <v>60</v>
      </c>
      <c r="G82" s="88"/>
      <c r="H82" s="88">
        <v>60</v>
      </c>
    </row>
    <row r="83" spans="1:8">
      <c r="A83" s="8">
        <v>42872</v>
      </c>
      <c r="B83" s="88"/>
      <c r="C83" s="88"/>
      <c r="D83" s="88">
        <v>12</v>
      </c>
      <c r="E83" s="88"/>
      <c r="F83" s="88"/>
      <c r="G83" s="88"/>
      <c r="H83" s="88">
        <v>12</v>
      </c>
    </row>
    <row r="84" spans="1:8">
      <c r="A84" s="8">
        <v>42875</v>
      </c>
      <c r="B84" s="88"/>
      <c r="C84" s="88">
        <v>33</v>
      </c>
      <c r="D84" s="88"/>
      <c r="E84" s="88"/>
      <c r="F84" s="88"/>
      <c r="G84" s="88"/>
      <c r="H84" s="88">
        <v>33</v>
      </c>
    </row>
    <row r="85" spans="1:8">
      <c r="A85" s="88" t="s">
        <v>36</v>
      </c>
      <c r="B85" s="88">
        <v>66</v>
      </c>
      <c r="C85" s="88">
        <v>78</v>
      </c>
      <c r="D85" s="88">
        <v>290</v>
      </c>
      <c r="E85" s="88">
        <v>26</v>
      </c>
      <c r="F85" s="88">
        <v>103</v>
      </c>
      <c r="G85" s="88">
        <v>227</v>
      </c>
      <c r="H85" s="88">
        <v>790</v>
      </c>
    </row>
    <row r="88" spans="1:8">
      <c r="A88" s="85" t="s">
        <v>11</v>
      </c>
      <c r="B88" t="s">
        <v>40</v>
      </c>
    </row>
    <row r="90" spans="1:8">
      <c r="A90" s="85" t="s">
        <v>41</v>
      </c>
      <c r="B90" s="85" t="s">
        <v>7</v>
      </c>
    </row>
    <row r="91" spans="1:8">
      <c r="A91" s="85" t="s">
        <v>9</v>
      </c>
      <c r="B91" t="s">
        <v>28</v>
      </c>
      <c r="C91" t="s">
        <v>14</v>
      </c>
      <c r="D91" t="s">
        <v>21</v>
      </c>
      <c r="E91" t="s">
        <v>36</v>
      </c>
    </row>
    <row r="92" spans="1:8">
      <c r="A92" s="8">
        <v>42858</v>
      </c>
      <c r="B92" s="86"/>
      <c r="C92" s="86">
        <v>5200</v>
      </c>
      <c r="D92" s="86"/>
      <c r="E92" s="86">
        <v>5200</v>
      </c>
    </row>
    <row r="93" spans="1:8">
      <c r="A93" s="8">
        <v>42859</v>
      </c>
      <c r="B93" s="86"/>
      <c r="C93" s="86">
        <v>6400</v>
      </c>
      <c r="D93" s="86"/>
      <c r="E93" s="86">
        <v>6400</v>
      </c>
    </row>
    <row r="94" spans="1:8">
      <c r="A94" s="8">
        <v>42860</v>
      </c>
      <c r="B94" s="86"/>
      <c r="C94" s="86">
        <v>2700</v>
      </c>
      <c r="D94" s="86">
        <v>7200</v>
      </c>
      <c r="E94" s="86">
        <v>9900</v>
      </c>
    </row>
    <row r="95" spans="1:8">
      <c r="A95" s="8">
        <v>42863</v>
      </c>
      <c r="B95" s="86"/>
      <c r="C95" s="86">
        <v>1500</v>
      </c>
      <c r="D95" s="86">
        <v>5590</v>
      </c>
      <c r="E95" s="86">
        <v>7090</v>
      </c>
    </row>
    <row r="96" spans="1:8">
      <c r="A96" s="8">
        <v>42865</v>
      </c>
      <c r="B96" s="86"/>
      <c r="C96" s="86">
        <v>9820</v>
      </c>
      <c r="D96" s="86"/>
      <c r="E96" s="86">
        <v>9820</v>
      </c>
    </row>
    <row r="97" spans="1:5">
      <c r="A97" s="8">
        <v>42867</v>
      </c>
      <c r="B97" s="86">
        <v>12587</v>
      </c>
      <c r="C97" s="86">
        <v>7890</v>
      </c>
      <c r="D97" s="86"/>
      <c r="E97" s="86">
        <v>20477</v>
      </c>
    </row>
    <row r="98" spans="1:5">
      <c r="A98" s="8">
        <v>42868</v>
      </c>
      <c r="B98" s="86"/>
      <c r="C98" s="86">
        <v>12202</v>
      </c>
      <c r="D98" s="86">
        <v>10047</v>
      </c>
      <c r="E98" s="86">
        <v>22249</v>
      </c>
    </row>
    <row r="99" spans="1:5">
      <c r="A99" s="8">
        <v>42870</v>
      </c>
      <c r="B99" s="86"/>
      <c r="C99" s="86">
        <v>26878</v>
      </c>
      <c r="D99" s="86"/>
      <c r="E99" s="86">
        <v>26878</v>
      </c>
    </row>
    <row r="100" spans="1:5">
      <c r="A100" s="8">
        <v>42871</v>
      </c>
      <c r="B100" s="86">
        <v>10487</v>
      </c>
      <c r="C100" s="86"/>
      <c r="D100" s="86"/>
      <c r="E100" s="86">
        <v>10487</v>
      </c>
    </row>
    <row r="101" spans="1:5">
      <c r="A101" s="8">
        <v>42872</v>
      </c>
      <c r="B101" s="86"/>
      <c r="C101" s="86">
        <v>17925</v>
      </c>
      <c r="D101" s="86"/>
      <c r="E101" s="86">
        <v>17925</v>
      </c>
    </row>
    <row r="102" spans="1:5">
      <c r="A102" s="8">
        <v>42875</v>
      </c>
      <c r="B102" s="86"/>
      <c r="C102" s="86">
        <v>3450</v>
      </c>
      <c r="D102" s="86"/>
      <c r="E102" s="86">
        <v>3450</v>
      </c>
    </row>
    <row r="103" spans="1:5">
      <c r="A103" s="8" t="s">
        <v>36</v>
      </c>
      <c r="B103" s="86">
        <v>23074</v>
      </c>
      <c r="C103" s="86">
        <v>93965</v>
      </c>
      <c r="D103" s="86">
        <v>22837</v>
      </c>
      <c r="E103" s="86">
        <v>139876</v>
      </c>
    </row>
    <row r="882" spans="1:1">
      <c r="A882" t="s">
        <v>42</v>
      </c>
    </row>
  </sheetData>
  <phoneticPr fontId="6" type="noConversion"/>
  <pageMargins left="0.75" right="0.75" top="1" bottom="1" header="0" footer="0"/>
  <pageSetup paperSize="5" orientation="portrait" horizontalDpi="4294967295" verticalDpi="4294967295" r:id="rId5"/>
  <headerFooter alignWithMargins="0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6"/>
  </sheetPr>
  <dimension ref="A1:M100"/>
  <sheetViews>
    <sheetView topLeftCell="A52" workbookViewId="0">
      <selection activeCell="H1" sqref="H1:H1048576"/>
    </sheetView>
  </sheetViews>
  <sheetFormatPr defaultColWidth="11.42578125" defaultRowHeight="12.6"/>
  <cols>
    <col min="1" max="1" width="12.85546875" customWidth="1"/>
    <col min="2" max="2" width="29.42578125" customWidth="1"/>
    <col min="3" max="3" width="12.140625" customWidth="1"/>
    <col min="4" max="4" width="14.140625" customWidth="1"/>
    <col min="5" max="6" width="14.5703125" customWidth="1"/>
    <col min="7" max="7" width="26" customWidth="1"/>
  </cols>
  <sheetData>
    <row r="1" spans="1:13" ht="100.5" customHeight="1">
      <c r="A1" s="12" t="s">
        <v>43</v>
      </c>
      <c r="B1" s="13"/>
      <c r="C1" s="68" t="s">
        <v>44</v>
      </c>
      <c r="D1" s="68"/>
      <c r="E1" s="68"/>
      <c r="F1" s="69"/>
      <c r="M1" t="s">
        <v>45</v>
      </c>
    </row>
    <row r="2" spans="1:13" ht="40.5" customHeight="1" thickBot="1">
      <c r="A2" s="18" t="s">
        <v>46</v>
      </c>
      <c r="B2" s="19" t="s">
        <v>47</v>
      </c>
      <c r="C2" s="19" t="s">
        <v>48</v>
      </c>
      <c r="D2" s="19" t="s">
        <v>49</v>
      </c>
      <c r="E2" s="19" t="s">
        <v>50</v>
      </c>
      <c r="F2" s="19" t="s">
        <v>51</v>
      </c>
    </row>
    <row r="3" spans="1:13" ht="15" customHeight="1" thickBot="1">
      <c r="A3" s="14">
        <v>1</v>
      </c>
      <c r="B3" s="10" t="s">
        <v>52</v>
      </c>
      <c r="C3" s="10" t="s">
        <v>53</v>
      </c>
      <c r="D3" s="10" t="s">
        <v>54</v>
      </c>
      <c r="E3" s="11">
        <v>22</v>
      </c>
      <c r="F3" s="11">
        <f>VLOOKUP(D3,$A$61:$B$65,2,0)</f>
        <v>35</v>
      </c>
    </row>
    <row r="4" spans="1:13" ht="14.25">
      <c r="A4" s="14">
        <v>2</v>
      </c>
      <c r="B4" s="10" t="s">
        <v>55</v>
      </c>
      <c r="C4" s="10" t="s">
        <v>53</v>
      </c>
      <c r="D4" s="10" t="s">
        <v>54</v>
      </c>
      <c r="E4" s="11">
        <v>27</v>
      </c>
      <c r="F4" s="11">
        <f t="shared" ref="F4:F56" si="0">VLOOKUP(D4,$A$61:$B$65,2,0)</f>
        <v>35</v>
      </c>
    </row>
    <row r="5" spans="1:13" ht="14.25">
      <c r="A5" s="14">
        <v>3</v>
      </c>
      <c r="B5" s="10" t="s">
        <v>56</v>
      </c>
      <c r="C5" s="10" t="s">
        <v>57</v>
      </c>
      <c r="D5" s="10" t="s">
        <v>54</v>
      </c>
      <c r="E5" s="11">
        <v>35</v>
      </c>
      <c r="F5" s="11">
        <f t="shared" si="0"/>
        <v>35</v>
      </c>
    </row>
    <row r="6" spans="1:13" ht="16.5" customHeight="1">
      <c r="A6" s="14">
        <v>4</v>
      </c>
      <c r="B6" s="10" t="s">
        <v>58</v>
      </c>
      <c r="C6" s="10" t="s">
        <v>59</v>
      </c>
      <c r="D6" s="10" t="s">
        <v>60</v>
      </c>
      <c r="E6" s="11">
        <v>40</v>
      </c>
      <c r="F6" s="11">
        <f t="shared" si="0"/>
        <v>42</v>
      </c>
    </row>
    <row r="7" spans="1:13" ht="15.75" customHeight="1">
      <c r="A7" s="14">
        <v>5</v>
      </c>
      <c r="B7" s="10" t="s">
        <v>61</v>
      </c>
      <c r="C7" s="10" t="s">
        <v>59</v>
      </c>
      <c r="D7" s="10" t="s">
        <v>54</v>
      </c>
      <c r="E7" s="11">
        <v>45</v>
      </c>
      <c r="F7" s="11">
        <f t="shared" si="0"/>
        <v>35</v>
      </c>
    </row>
    <row r="8" spans="1:13" ht="14.25">
      <c r="A8" s="14">
        <v>6</v>
      </c>
      <c r="B8" s="10" t="s">
        <v>62</v>
      </c>
      <c r="C8" s="10" t="s">
        <v>59</v>
      </c>
      <c r="D8" s="10" t="s">
        <v>54</v>
      </c>
      <c r="E8" s="11">
        <v>50</v>
      </c>
      <c r="F8" s="11">
        <f t="shared" si="0"/>
        <v>35</v>
      </c>
    </row>
    <row r="9" spans="1:13" ht="14.25">
      <c r="A9" s="14">
        <v>7</v>
      </c>
      <c r="B9" s="10" t="s">
        <v>63</v>
      </c>
      <c r="C9" s="10" t="s">
        <v>59</v>
      </c>
      <c r="D9" s="10" t="s">
        <v>54</v>
      </c>
      <c r="E9" s="11">
        <v>52</v>
      </c>
      <c r="F9" s="11">
        <f t="shared" si="0"/>
        <v>35</v>
      </c>
    </row>
    <row r="10" spans="1:13" ht="14.25">
      <c r="A10" s="14">
        <v>8</v>
      </c>
      <c r="B10" s="10" t="s">
        <v>64</v>
      </c>
      <c r="C10" s="10" t="s">
        <v>59</v>
      </c>
      <c r="D10" s="10" t="s">
        <v>54</v>
      </c>
      <c r="E10" s="11">
        <v>70</v>
      </c>
      <c r="F10" s="11">
        <f t="shared" si="0"/>
        <v>35</v>
      </c>
    </row>
    <row r="11" spans="1:13" ht="14.25">
      <c r="A11" s="14">
        <v>9</v>
      </c>
      <c r="B11" s="10" t="s">
        <v>65</v>
      </c>
      <c r="C11" s="10" t="s">
        <v>59</v>
      </c>
      <c r="D11" s="10" t="s">
        <v>54</v>
      </c>
      <c r="E11" s="11">
        <v>70</v>
      </c>
      <c r="F11" s="11">
        <f t="shared" si="0"/>
        <v>35</v>
      </c>
    </row>
    <row r="12" spans="1:13" ht="14.25">
      <c r="A12" s="14">
        <v>10</v>
      </c>
      <c r="B12" s="10" t="s">
        <v>66</v>
      </c>
      <c r="C12" s="10" t="s">
        <v>59</v>
      </c>
      <c r="D12" s="10" t="s">
        <v>54</v>
      </c>
      <c r="E12" s="11">
        <v>55</v>
      </c>
      <c r="F12" s="11">
        <f t="shared" si="0"/>
        <v>35</v>
      </c>
    </row>
    <row r="13" spans="1:13" ht="15" customHeight="1">
      <c r="A13" s="14">
        <v>11</v>
      </c>
      <c r="B13" s="10" t="s">
        <v>67</v>
      </c>
      <c r="C13" s="10" t="s">
        <v>68</v>
      </c>
      <c r="D13" s="10" t="s">
        <v>69</v>
      </c>
      <c r="E13" s="11">
        <v>70</v>
      </c>
      <c r="F13" s="11">
        <f t="shared" si="0"/>
        <v>39</v>
      </c>
    </row>
    <row r="14" spans="1:13" ht="14.25">
      <c r="A14" s="14">
        <v>12</v>
      </c>
      <c r="B14" s="10" t="s">
        <v>70</v>
      </c>
      <c r="C14" s="10" t="s">
        <v>68</v>
      </c>
      <c r="D14" s="10" t="s">
        <v>69</v>
      </c>
      <c r="E14" s="11">
        <v>72</v>
      </c>
      <c r="F14" s="11">
        <f t="shared" si="0"/>
        <v>39</v>
      </c>
    </row>
    <row r="15" spans="1:13" ht="14.25">
      <c r="A15" s="14">
        <v>13</v>
      </c>
      <c r="B15" s="10" t="s">
        <v>71</v>
      </c>
      <c r="C15" s="10" t="s">
        <v>68</v>
      </c>
      <c r="D15" s="10" t="s">
        <v>69</v>
      </c>
      <c r="E15" s="11">
        <v>68</v>
      </c>
      <c r="F15" s="11">
        <f t="shared" si="0"/>
        <v>39</v>
      </c>
    </row>
    <row r="16" spans="1:13" ht="14.25">
      <c r="A16" s="14">
        <v>14</v>
      </c>
      <c r="B16" s="10" t="s">
        <v>72</v>
      </c>
      <c r="C16" s="10" t="s">
        <v>68</v>
      </c>
      <c r="D16" s="10" t="s">
        <v>69</v>
      </c>
      <c r="E16" s="11">
        <v>56</v>
      </c>
      <c r="F16" s="11">
        <f t="shared" si="0"/>
        <v>39</v>
      </c>
    </row>
    <row r="17" spans="1:6" ht="14.25">
      <c r="A17" s="14">
        <v>15</v>
      </c>
      <c r="B17" s="10" t="s">
        <v>73</v>
      </c>
      <c r="C17" s="10" t="s">
        <v>68</v>
      </c>
      <c r="D17" s="10" t="s">
        <v>69</v>
      </c>
      <c r="E17" s="11">
        <v>63</v>
      </c>
      <c r="F17" s="11">
        <f t="shared" si="0"/>
        <v>39</v>
      </c>
    </row>
    <row r="18" spans="1:6" ht="14.25">
      <c r="A18" s="14">
        <v>16</v>
      </c>
      <c r="B18" s="10" t="s">
        <v>74</v>
      </c>
      <c r="C18" s="10" t="s">
        <v>75</v>
      </c>
      <c r="D18" s="10" t="s">
        <v>69</v>
      </c>
      <c r="E18" s="11">
        <v>15</v>
      </c>
      <c r="F18" s="11">
        <f t="shared" si="0"/>
        <v>39</v>
      </c>
    </row>
    <row r="19" spans="1:6" ht="14.25">
      <c r="A19" s="14">
        <v>17</v>
      </c>
      <c r="B19" s="10" t="s">
        <v>76</v>
      </c>
      <c r="C19" s="10" t="s">
        <v>77</v>
      </c>
      <c r="D19" s="10" t="s">
        <v>78</v>
      </c>
      <c r="E19" s="11">
        <v>35</v>
      </c>
      <c r="F19" s="11">
        <f t="shared" si="0"/>
        <v>45</v>
      </c>
    </row>
    <row r="20" spans="1:6" ht="14.25">
      <c r="A20" s="14">
        <v>18</v>
      </c>
      <c r="B20" s="10" t="s">
        <v>79</v>
      </c>
      <c r="C20" s="10" t="s">
        <v>59</v>
      </c>
      <c r="D20" s="10" t="s">
        <v>69</v>
      </c>
      <c r="E20" s="11">
        <v>50</v>
      </c>
      <c r="F20" s="11">
        <f t="shared" si="0"/>
        <v>39</v>
      </c>
    </row>
    <row r="21" spans="1:6" ht="14.25">
      <c r="A21" s="14">
        <v>19</v>
      </c>
      <c r="B21" s="10" t="s">
        <v>80</v>
      </c>
      <c r="C21" s="10" t="s">
        <v>77</v>
      </c>
      <c r="D21" s="10" t="s">
        <v>78</v>
      </c>
      <c r="E21" s="11">
        <v>23</v>
      </c>
      <c r="F21" s="11">
        <f t="shared" si="0"/>
        <v>45</v>
      </c>
    </row>
    <row r="22" spans="1:6" ht="14.25">
      <c r="A22" s="14">
        <v>20</v>
      </c>
      <c r="B22" s="10" t="s">
        <v>81</v>
      </c>
      <c r="C22" s="10" t="s">
        <v>59</v>
      </c>
      <c r="D22" s="10" t="s">
        <v>54</v>
      </c>
      <c r="E22" s="11">
        <v>45</v>
      </c>
      <c r="F22" s="11">
        <f t="shared" si="0"/>
        <v>35</v>
      </c>
    </row>
    <row r="23" spans="1:6" ht="14.25">
      <c r="A23" s="14">
        <v>21</v>
      </c>
      <c r="B23" s="10" t="s">
        <v>82</v>
      </c>
      <c r="C23" s="10" t="s">
        <v>59</v>
      </c>
      <c r="D23" s="10" t="s">
        <v>54</v>
      </c>
      <c r="E23" s="11">
        <v>45</v>
      </c>
      <c r="F23" s="11">
        <f t="shared" si="0"/>
        <v>35</v>
      </c>
    </row>
    <row r="24" spans="1:6" ht="14.25">
      <c r="A24" s="14">
        <v>22</v>
      </c>
      <c r="B24" s="10" t="s">
        <v>83</v>
      </c>
      <c r="C24" s="10" t="s">
        <v>75</v>
      </c>
      <c r="D24" s="10" t="s">
        <v>78</v>
      </c>
      <c r="E24" s="11">
        <v>12</v>
      </c>
      <c r="F24" s="11">
        <f t="shared" si="0"/>
        <v>45</v>
      </c>
    </row>
    <row r="25" spans="1:6" ht="14.25">
      <c r="A25" s="14">
        <v>23</v>
      </c>
      <c r="B25" s="10" t="s">
        <v>84</v>
      </c>
      <c r="C25" s="10" t="s">
        <v>85</v>
      </c>
      <c r="D25" s="10" t="s">
        <v>78</v>
      </c>
      <c r="E25" s="11">
        <v>22</v>
      </c>
      <c r="F25" s="11">
        <f t="shared" si="0"/>
        <v>45</v>
      </c>
    </row>
    <row r="26" spans="1:6" ht="14.25">
      <c r="A26" s="14">
        <v>24</v>
      </c>
      <c r="B26" s="10" t="s">
        <v>86</v>
      </c>
      <c r="C26" s="10" t="s">
        <v>87</v>
      </c>
      <c r="D26" s="10" t="s">
        <v>60</v>
      </c>
      <c r="E26" s="11">
        <v>32</v>
      </c>
      <c r="F26" s="11">
        <f t="shared" si="0"/>
        <v>42</v>
      </c>
    </row>
    <row r="27" spans="1:6" ht="14.25">
      <c r="A27" s="14">
        <v>25</v>
      </c>
      <c r="B27" s="10" t="s">
        <v>88</v>
      </c>
      <c r="C27" s="10" t="s">
        <v>87</v>
      </c>
      <c r="D27" s="10" t="s">
        <v>60</v>
      </c>
      <c r="E27" s="11">
        <v>34</v>
      </c>
      <c r="F27" s="11">
        <f t="shared" si="0"/>
        <v>42</v>
      </c>
    </row>
    <row r="28" spans="1:6" ht="16.5" customHeight="1">
      <c r="A28" s="14">
        <v>26</v>
      </c>
      <c r="B28" s="10" t="s">
        <v>89</v>
      </c>
      <c r="C28" s="10" t="s">
        <v>87</v>
      </c>
      <c r="D28" s="10" t="s">
        <v>60</v>
      </c>
      <c r="E28" s="11">
        <v>70</v>
      </c>
      <c r="F28" s="11">
        <f t="shared" si="0"/>
        <v>42</v>
      </c>
    </row>
    <row r="29" spans="1:6" ht="14.25">
      <c r="A29" s="14">
        <v>27</v>
      </c>
      <c r="B29" s="10" t="s">
        <v>90</v>
      </c>
      <c r="C29" s="10" t="s">
        <v>91</v>
      </c>
      <c r="D29" s="10" t="s">
        <v>60</v>
      </c>
      <c r="E29" s="11">
        <v>67</v>
      </c>
      <c r="F29" s="11">
        <f t="shared" si="0"/>
        <v>42</v>
      </c>
    </row>
    <row r="30" spans="1:6" ht="14.25">
      <c r="A30" s="14">
        <v>28</v>
      </c>
      <c r="B30" s="10" t="s">
        <v>92</v>
      </c>
      <c r="C30" s="10" t="s">
        <v>59</v>
      </c>
      <c r="D30" s="10" t="s">
        <v>60</v>
      </c>
      <c r="E30" s="11">
        <v>45</v>
      </c>
      <c r="F30" s="11">
        <f t="shared" si="0"/>
        <v>42</v>
      </c>
    </row>
    <row r="31" spans="1:6" ht="14.25">
      <c r="A31" s="14">
        <v>29</v>
      </c>
      <c r="B31" s="10" t="s">
        <v>93</v>
      </c>
      <c r="C31" s="10" t="s">
        <v>59</v>
      </c>
      <c r="D31" s="10" t="s">
        <v>69</v>
      </c>
      <c r="E31" s="11">
        <v>34</v>
      </c>
      <c r="F31" s="11">
        <f t="shared" si="0"/>
        <v>39</v>
      </c>
    </row>
    <row r="32" spans="1:6" ht="14.25">
      <c r="A32" s="14">
        <v>30</v>
      </c>
      <c r="B32" s="10" t="s">
        <v>94</v>
      </c>
      <c r="C32" s="10" t="s">
        <v>95</v>
      </c>
      <c r="D32" s="10" t="s">
        <v>78</v>
      </c>
      <c r="E32" s="11">
        <v>23</v>
      </c>
      <c r="F32" s="11">
        <f t="shared" si="0"/>
        <v>45</v>
      </c>
    </row>
    <row r="33" spans="1:6" ht="14.25">
      <c r="A33" s="14">
        <v>31</v>
      </c>
      <c r="B33" s="10" t="s">
        <v>96</v>
      </c>
      <c r="C33" s="10" t="s">
        <v>95</v>
      </c>
      <c r="D33" s="10" t="s">
        <v>78</v>
      </c>
      <c r="E33" s="11">
        <v>22</v>
      </c>
      <c r="F33" s="11">
        <f t="shared" si="0"/>
        <v>45</v>
      </c>
    </row>
    <row r="34" spans="1:6" ht="14.25">
      <c r="A34" s="14">
        <v>32</v>
      </c>
      <c r="B34" s="10" t="s">
        <v>97</v>
      </c>
      <c r="C34" s="10" t="s">
        <v>95</v>
      </c>
      <c r="D34" s="10" t="s">
        <v>78</v>
      </c>
      <c r="E34" s="11">
        <v>54</v>
      </c>
      <c r="F34" s="11">
        <f t="shared" si="0"/>
        <v>45</v>
      </c>
    </row>
    <row r="35" spans="1:6" ht="14.25">
      <c r="A35" s="14">
        <v>33</v>
      </c>
      <c r="B35" s="10" t="s">
        <v>98</v>
      </c>
      <c r="C35" s="10" t="s">
        <v>75</v>
      </c>
      <c r="D35" s="10" t="s">
        <v>78</v>
      </c>
      <c r="E35" s="11">
        <v>54</v>
      </c>
      <c r="F35" s="11">
        <f t="shared" si="0"/>
        <v>45</v>
      </c>
    </row>
    <row r="36" spans="1:6" ht="14.25">
      <c r="A36" s="14">
        <v>34</v>
      </c>
      <c r="B36" s="10" t="s">
        <v>99</v>
      </c>
      <c r="C36" s="10" t="s">
        <v>59</v>
      </c>
      <c r="D36" s="10" t="s">
        <v>54</v>
      </c>
      <c r="E36" s="11">
        <v>45</v>
      </c>
      <c r="F36" s="11">
        <f t="shared" si="0"/>
        <v>35</v>
      </c>
    </row>
    <row r="37" spans="1:6" ht="14.25">
      <c r="A37" s="14">
        <v>35</v>
      </c>
      <c r="B37" s="10" t="s">
        <v>100</v>
      </c>
      <c r="C37" s="10" t="s">
        <v>57</v>
      </c>
      <c r="D37" s="10" t="s">
        <v>54</v>
      </c>
      <c r="E37" s="11">
        <v>67</v>
      </c>
      <c r="F37" s="11">
        <f t="shared" si="0"/>
        <v>35</v>
      </c>
    </row>
    <row r="38" spans="1:6" ht="14.25">
      <c r="A38" s="14">
        <v>36</v>
      </c>
      <c r="B38" s="10" t="s">
        <v>101</v>
      </c>
      <c r="C38" s="10" t="s">
        <v>57</v>
      </c>
      <c r="D38" s="10" t="s">
        <v>54</v>
      </c>
      <c r="E38" s="11">
        <v>67</v>
      </c>
      <c r="F38" s="11">
        <f t="shared" si="0"/>
        <v>35</v>
      </c>
    </row>
    <row r="39" spans="1:6" ht="14.25" customHeight="1">
      <c r="A39" s="14">
        <v>37</v>
      </c>
      <c r="B39" s="10" t="s">
        <v>102</v>
      </c>
      <c r="C39" s="10" t="s">
        <v>59</v>
      </c>
      <c r="D39" s="10" t="s">
        <v>54</v>
      </c>
      <c r="E39" s="11">
        <v>45</v>
      </c>
      <c r="F39" s="11">
        <f t="shared" si="0"/>
        <v>35</v>
      </c>
    </row>
    <row r="40" spans="1:6" ht="14.25">
      <c r="A40" s="14">
        <v>38</v>
      </c>
      <c r="B40" s="10" t="s">
        <v>103</v>
      </c>
      <c r="C40" s="10" t="s">
        <v>104</v>
      </c>
      <c r="D40" s="10" t="s">
        <v>60</v>
      </c>
      <c r="E40" s="11">
        <v>65</v>
      </c>
      <c r="F40" s="11">
        <f t="shared" si="0"/>
        <v>42</v>
      </c>
    </row>
    <row r="41" spans="1:6" ht="14.25">
      <c r="A41" s="14">
        <v>39</v>
      </c>
      <c r="B41" s="10" t="s">
        <v>105</v>
      </c>
      <c r="C41" s="10" t="s">
        <v>91</v>
      </c>
      <c r="D41" s="10" t="s">
        <v>54</v>
      </c>
      <c r="E41" s="11">
        <v>52</v>
      </c>
      <c r="F41" s="11">
        <f t="shared" si="0"/>
        <v>35</v>
      </c>
    </row>
    <row r="42" spans="1:6" ht="14.25">
      <c r="A42" s="14">
        <v>40</v>
      </c>
      <c r="B42" s="10" t="s">
        <v>106</v>
      </c>
      <c r="C42" s="10" t="s">
        <v>91</v>
      </c>
      <c r="D42" s="10" t="s">
        <v>54</v>
      </c>
      <c r="E42" s="11">
        <v>50</v>
      </c>
      <c r="F42" s="11">
        <f t="shared" si="0"/>
        <v>35</v>
      </c>
    </row>
    <row r="43" spans="1:6" ht="14.25">
      <c r="A43" s="14">
        <v>41</v>
      </c>
      <c r="B43" s="10" t="s">
        <v>107</v>
      </c>
      <c r="C43" s="10" t="s">
        <v>91</v>
      </c>
      <c r="D43" s="10" t="s">
        <v>54</v>
      </c>
      <c r="E43" s="11">
        <v>28</v>
      </c>
      <c r="F43" s="11">
        <f t="shared" si="0"/>
        <v>35</v>
      </c>
    </row>
    <row r="44" spans="1:6" ht="14.25">
      <c r="A44" s="14">
        <v>42</v>
      </c>
      <c r="B44" s="10" t="s">
        <v>108</v>
      </c>
      <c r="C44" s="10" t="s">
        <v>104</v>
      </c>
      <c r="D44" s="10" t="s">
        <v>54</v>
      </c>
      <c r="E44" s="11">
        <v>30</v>
      </c>
      <c r="F44" s="11">
        <f t="shared" si="0"/>
        <v>35</v>
      </c>
    </row>
    <row r="45" spans="1:6" ht="14.25">
      <c r="A45" s="14">
        <v>43</v>
      </c>
      <c r="B45" s="10" t="s">
        <v>109</v>
      </c>
      <c r="C45" s="10" t="s">
        <v>110</v>
      </c>
      <c r="D45" s="10" t="s">
        <v>54</v>
      </c>
      <c r="E45" s="11">
        <v>65</v>
      </c>
      <c r="F45" s="11">
        <f t="shared" si="0"/>
        <v>35</v>
      </c>
    </row>
    <row r="46" spans="1:6" ht="14.25">
      <c r="A46" s="14">
        <v>44</v>
      </c>
      <c r="B46" s="10" t="s">
        <v>111</v>
      </c>
      <c r="C46" s="10" t="s">
        <v>91</v>
      </c>
      <c r="D46" s="10" t="s">
        <v>54</v>
      </c>
      <c r="E46" s="11">
        <v>34</v>
      </c>
      <c r="F46" s="11">
        <f t="shared" si="0"/>
        <v>35</v>
      </c>
    </row>
    <row r="47" spans="1:6" ht="14.25">
      <c r="A47" s="14">
        <v>45</v>
      </c>
      <c r="B47" s="10" t="s">
        <v>112</v>
      </c>
      <c r="C47" s="10" t="s">
        <v>104</v>
      </c>
      <c r="D47" s="10" t="s">
        <v>69</v>
      </c>
      <c r="E47" s="11">
        <v>50</v>
      </c>
      <c r="F47" s="11">
        <f t="shared" si="0"/>
        <v>39</v>
      </c>
    </row>
    <row r="48" spans="1:6" ht="14.25">
      <c r="A48" s="14">
        <v>46</v>
      </c>
      <c r="B48" s="10" t="s">
        <v>113</v>
      </c>
      <c r="C48" s="10" t="s">
        <v>104</v>
      </c>
      <c r="D48" s="10" t="s">
        <v>54</v>
      </c>
      <c r="E48" s="11">
        <v>34</v>
      </c>
      <c r="F48" s="11">
        <f t="shared" si="0"/>
        <v>35</v>
      </c>
    </row>
    <row r="49" spans="1:6" ht="14.25">
      <c r="A49" s="14">
        <v>47</v>
      </c>
      <c r="B49" s="10" t="s">
        <v>114</v>
      </c>
      <c r="C49" s="10" t="s">
        <v>104</v>
      </c>
      <c r="D49" s="10" t="s">
        <v>69</v>
      </c>
      <c r="E49" s="11">
        <v>43</v>
      </c>
      <c r="F49" s="11">
        <f t="shared" si="0"/>
        <v>39</v>
      </c>
    </row>
    <row r="50" spans="1:6" ht="14.25">
      <c r="A50" s="14">
        <v>48</v>
      </c>
      <c r="B50" s="10" t="s">
        <v>115</v>
      </c>
      <c r="C50" s="10" t="s">
        <v>104</v>
      </c>
      <c r="D50" s="10" t="s">
        <v>60</v>
      </c>
      <c r="E50" s="11">
        <v>45</v>
      </c>
      <c r="F50" s="11">
        <f t="shared" si="0"/>
        <v>42</v>
      </c>
    </row>
    <row r="51" spans="1:6" ht="14.25">
      <c r="A51" s="14">
        <v>49</v>
      </c>
      <c r="B51" s="10" t="s">
        <v>116</v>
      </c>
      <c r="C51" s="10" t="s">
        <v>57</v>
      </c>
      <c r="D51" s="10" t="s">
        <v>54</v>
      </c>
      <c r="E51" s="11">
        <v>45</v>
      </c>
      <c r="F51" s="11">
        <f t="shared" si="0"/>
        <v>35</v>
      </c>
    </row>
    <row r="52" spans="1:6" ht="14.25">
      <c r="A52" s="14">
        <v>50</v>
      </c>
      <c r="B52" s="10" t="s">
        <v>117</v>
      </c>
      <c r="C52" s="10" t="s">
        <v>104</v>
      </c>
      <c r="D52" s="10" t="s">
        <v>60</v>
      </c>
      <c r="E52" s="11">
        <v>38</v>
      </c>
      <c r="F52" s="11">
        <f t="shared" si="0"/>
        <v>42</v>
      </c>
    </row>
    <row r="53" spans="1:6" ht="14.25">
      <c r="A53" s="14">
        <v>51</v>
      </c>
      <c r="B53" s="10" t="s">
        <v>118</v>
      </c>
      <c r="C53" s="10" t="s">
        <v>75</v>
      </c>
      <c r="D53" s="10" t="s">
        <v>54</v>
      </c>
      <c r="E53" s="11">
        <v>37</v>
      </c>
      <c r="F53" s="11">
        <f t="shared" si="0"/>
        <v>35</v>
      </c>
    </row>
    <row r="54" spans="1:6" ht="14.25">
      <c r="A54" s="14">
        <v>52</v>
      </c>
      <c r="B54" s="10" t="s">
        <v>119</v>
      </c>
      <c r="C54" s="10" t="s">
        <v>104</v>
      </c>
      <c r="D54" s="10" t="s">
        <v>69</v>
      </c>
      <c r="E54" s="11">
        <v>43</v>
      </c>
      <c r="F54" s="11">
        <f t="shared" si="0"/>
        <v>39</v>
      </c>
    </row>
    <row r="55" spans="1:6" ht="14.25">
      <c r="A55" s="14">
        <v>53</v>
      </c>
      <c r="B55" s="10" t="s">
        <v>120</v>
      </c>
      <c r="C55" s="10" t="s">
        <v>59</v>
      </c>
      <c r="D55" s="10" t="s">
        <v>69</v>
      </c>
      <c r="E55" s="11">
        <v>34</v>
      </c>
      <c r="F55" s="11">
        <f t="shared" si="0"/>
        <v>39</v>
      </c>
    </row>
    <row r="56" spans="1:6" ht="14.25">
      <c r="A56" s="14">
        <v>54</v>
      </c>
      <c r="B56" s="10" t="s">
        <v>121</v>
      </c>
      <c r="C56" s="10" t="s">
        <v>75</v>
      </c>
      <c r="D56" s="10" t="s">
        <v>69</v>
      </c>
      <c r="E56" s="11">
        <v>30</v>
      </c>
      <c r="F56" s="11">
        <f t="shared" si="0"/>
        <v>39</v>
      </c>
    </row>
    <row r="60" spans="1:6" ht="12.95" thickBot="1"/>
    <row r="61" spans="1:6" ht="19.5" customHeight="1" thickBot="1">
      <c r="A61" s="16" t="s">
        <v>122</v>
      </c>
      <c r="B61" s="16" t="s">
        <v>123</v>
      </c>
    </row>
    <row r="62" spans="1:6" ht="18" customHeight="1" thickBot="1">
      <c r="A62" s="17" t="s">
        <v>54</v>
      </c>
      <c r="B62" s="15">
        <v>35</v>
      </c>
    </row>
    <row r="63" spans="1:6" ht="18" customHeight="1" thickBot="1">
      <c r="A63" s="17" t="s">
        <v>69</v>
      </c>
      <c r="B63" s="15">
        <v>39</v>
      </c>
    </row>
    <row r="64" spans="1:6" ht="18" customHeight="1" thickBot="1">
      <c r="A64" s="17" t="s">
        <v>60</v>
      </c>
      <c r="B64" s="15">
        <v>42</v>
      </c>
    </row>
    <row r="65" spans="1:7" ht="18" customHeight="1" thickBot="1">
      <c r="A65" s="17" t="s">
        <v>78</v>
      </c>
      <c r="B65" s="15">
        <v>45</v>
      </c>
    </row>
    <row r="71" spans="1:7" ht="12.75">
      <c r="A71" s="91" t="s">
        <v>124</v>
      </c>
      <c r="B71" s="94" t="s">
        <v>125</v>
      </c>
      <c r="C71" s="96" t="s">
        <v>46</v>
      </c>
      <c r="D71" s="96" t="s">
        <v>47</v>
      </c>
      <c r="E71" s="96" t="s">
        <v>48</v>
      </c>
      <c r="F71" s="96" t="s">
        <v>49</v>
      </c>
      <c r="G71" s="96" t="s">
        <v>51</v>
      </c>
    </row>
    <row r="72" spans="1:7" ht="12.75">
      <c r="A72" s="92"/>
      <c r="B72" s="92"/>
      <c r="C72" s="92"/>
      <c r="D72" s="94" t="s">
        <v>66</v>
      </c>
      <c r="E72" s="92"/>
      <c r="F72" s="92"/>
      <c r="G72" s="92"/>
    </row>
    <row r="73" spans="1:7" ht="12.75">
      <c r="B73" s="94" t="s">
        <v>126</v>
      </c>
      <c r="C73" s="93" t="s">
        <v>127</v>
      </c>
      <c r="D73" s="92"/>
      <c r="E73" s="94" t="str">
        <f>DGET('Ejercicio 2 .1'!A2:F56,'Ejercicio 2 .1'!C2,D71:D72)</f>
        <v>C.Ficción</v>
      </c>
      <c r="F73" s="92"/>
      <c r="G73" s="92"/>
    </row>
    <row r="76" spans="1:7" ht="12.75">
      <c r="A76" s="91" t="s">
        <v>128</v>
      </c>
      <c r="B76" s="94" t="s">
        <v>125</v>
      </c>
      <c r="C76" s="96" t="s">
        <v>46</v>
      </c>
      <c r="D76" s="96" t="s">
        <v>47</v>
      </c>
      <c r="E76" s="96" t="s">
        <v>48</v>
      </c>
      <c r="F76" s="96" t="s">
        <v>49</v>
      </c>
      <c r="G76" s="96" t="s">
        <v>51</v>
      </c>
    </row>
    <row r="77" spans="1:7" ht="12.75">
      <c r="A77" s="92"/>
      <c r="B77" s="92"/>
      <c r="C77" s="92"/>
      <c r="D77" s="92"/>
      <c r="E77" s="94" t="s">
        <v>104</v>
      </c>
      <c r="F77" s="92" t="s">
        <v>69</v>
      </c>
      <c r="G77" s="92"/>
    </row>
    <row r="78" spans="1:7" ht="12.75">
      <c r="B78" s="94" t="s">
        <v>126</v>
      </c>
      <c r="C78" s="93" t="s">
        <v>129</v>
      </c>
      <c r="D78" s="92"/>
      <c r="E78" s="95">
        <f>DCOUNTA('Ejercicio 2 .1'!A2:F56,'Ejercicio 2 .1'!A2,E76:F77)</f>
        <v>3</v>
      </c>
    </row>
    <row r="81" spans="1:7" ht="12.75">
      <c r="A81" s="91" t="s">
        <v>130</v>
      </c>
      <c r="B81" s="94" t="s">
        <v>125</v>
      </c>
      <c r="C81" s="96" t="s">
        <v>46</v>
      </c>
      <c r="D81" s="96" t="s">
        <v>47</v>
      </c>
      <c r="E81" s="96" t="s">
        <v>48</v>
      </c>
      <c r="F81" s="96" t="s">
        <v>49</v>
      </c>
      <c r="G81" s="96" t="s">
        <v>51</v>
      </c>
    </row>
    <row r="82" spans="1:7" ht="12.75">
      <c r="A82" s="92"/>
      <c r="B82" s="92"/>
      <c r="C82" s="92"/>
      <c r="D82" s="92"/>
      <c r="E82" s="94" t="s">
        <v>68</v>
      </c>
      <c r="F82" s="92"/>
      <c r="G82" s="92"/>
    </row>
    <row r="83" spans="1:7" ht="12.75">
      <c r="A83" s="92"/>
      <c r="B83" s="92"/>
      <c r="C83" s="92"/>
      <c r="D83" s="92"/>
      <c r="E83" s="94" t="s">
        <v>75</v>
      </c>
      <c r="F83" s="92"/>
      <c r="G83" s="92"/>
    </row>
    <row r="84" spans="1:7" ht="12.75">
      <c r="B84" s="94" t="s">
        <v>126</v>
      </c>
      <c r="C84" s="93" t="s">
        <v>131</v>
      </c>
      <c r="D84" s="92"/>
      <c r="E84" s="95">
        <f>DSUM('Ejercicio 2 .1'!A2:F56,'Ejercicio 2 .1'!E2,E81:E83)</f>
        <v>477</v>
      </c>
    </row>
    <row r="100" spans="1:1">
      <c r="A100" s="8">
        <v>41730</v>
      </c>
    </row>
  </sheetData>
  <mergeCells count="1">
    <mergeCell ref="C1:F1"/>
  </mergeCells>
  <phoneticPr fontId="6" type="noConversion"/>
  <pageMargins left="0.75" right="0.75" top="1" bottom="1" header="0" footer="0"/>
  <pageSetup paperSize="5" orientation="portrait" horizontalDpi="4294967295" verticalDpi="4294967295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9E6D-E1C3-41DD-BB5C-9BA60DFB308C}">
  <sheetPr>
    <tabColor indexed="46"/>
  </sheetPr>
  <dimension ref="A1:M101"/>
  <sheetViews>
    <sheetView topLeftCell="A76" workbookViewId="0">
      <selection activeCell="A69" sqref="A69:G85"/>
    </sheetView>
  </sheetViews>
  <sheetFormatPr defaultColWidth="11.42578125" defaultRowHeight="12.75"/>
  <cols>
    <col min="1" max="1" width="12.85546875" customWidth="1"/>
    <col min="2" max="2" width="18.7109375" customWidth="1"/>
    <col min="3" max="3" width="12.140625" customWidth="1"/>
    <col min="4" max="4" width="14.140625" customWidth="1"/>
    <col min="5" max="5" width="21.140625" customWidth="1"/>
    <col min="6" max="6" width="14.5703125" customWidth="1"/>
    <col min="7" max="7" width="21.42578125" bestFit="1" customWidth="1"/>
  </cols>
  <sheetData>
    <row r="1" spans="1:13" ht="100.5" customHeight="1">
      <c r="A1" s="12" t="s">
        <v>43</v>
      </c>
      <c r="B1" s="13"/>
      <c r="C1" s="68" t="s">
        <v>44</v>
      </c>
      <c r="D1" s="68"/>
      <c r="E1" s="68"/>
      <c r="F1" s="69"/>
      <c r="M1" t="s">
        <v>45</v>
      </c>
    </row>
    <row r="2" spans="1:13" ht="40.5" customHeight="1">
      <c r="A2" s="18" t="s">
        <v>46</v>
      </c>
      <c r="B2" s="19" t="s">
        <v>47</v>
      </c>
      <c r="C2" s="19" t="s">
        <v>48</v>
      </c>
      <c r="D2" s="19" t="s">
        <v>49</v>
      </c>
      <c r="E2" s="19" t="s">
        <v>50</v>
      </c>
      <c r="F2" s="19" t="s">
        <v>51</v>
      </c>
    </row>
    <row r="3" spans="1:13" ht="15" customHeight="1">
      <c r="A3" s="14">
        <v>1</v>
      </c>
      <c r="B3" s="10" t="s">
        <v>52</v>
      </c>
      <c r="C3" s="10" t="s">
        <v>53</v>
      </c>
      <c r="D3" s="10" t="s">
        <v>54</v>
      </c>
      <c r="E3" s="11">
        <v>22</v>
      </c>
      <c r="F3" s="11">
        <f>VLOOKUP(D3,$A$61:$B$65,2,0)</f>
        <v>35</v>
      </c>
    </row>
    <row r="4" spans="1:13" ht="14.25">
      <c r="A4" s="14">
        <v>2</v>
      </c>
      <c r="B4" s="10" t="s">
        <v>55</v>
      </c>
      <c r="C4" s="10" t="s">
        <v>53</v>
      </c>
      <c r="D4" s="10" t="s">
        <v>54</v>
      </c>
      <c r="E4" s="11">
        <v>27</v>
      </c>
      <c r="F4" s="11">
        <f t="shared" ref="F4:F56" si="0">VLOOKUP(D4,$A$61:$B$65,2,0)</f>
        <v>35</v>
      </c>
    </row>
    <row r="5" spans="1:13" ht="14.25">
      <c r="A5" s="14">
        <v>3</v>
      </c>
      <c r="B5" s="10" t="s">
        <v>56</v>
      </c>
      <c r="C5" s="10" t="s">
        <v>57</v>
      </c>
      <c r="D5" s="10" t="s">
        <v>54</v>
      </c>
      <c r="E5" s="11">
        <v>35</v>
      </c>
      <c r="F5" s="11">
        <f t="shared" si="0"/>
        <v>35</v>
      </c>
    </row>
    <row r="6" spans="1:13" ht="16.5" customHeight="1">
      <c r="A6" s="14">
        <v>4</v>
      </c>
      <c r="B6" s="10" t="s">
        <v>58</v>
      </c>
      <c r="C6" s="10" t="s">
        <v>59</v>
      </c>
      <c r="D6" s="10" t="s">
        <v>60</v>
      </c>
      <c r="E6" s="11">
        <v>40</v>
      </c>
      <c r="F6" s="11">
        <f t="shared" si="0"/>
        <v>42</v>
      </c>
    </row>
    <row r="7" spans="1:13" ht="15.75" customHeight="1">
      <c r="A7" s="14">
        <v>5</v>
      </c>
      <c r="B7" s="10" t="s">
        <v>61</v>
      </c>
      <c r="C7" s="10" t="s">
        <v>59</v>
      </c>
      <c r="D7" s="10" t="s">
        <v>54</v>
      </c>
      <c r="E7" s="11">
        <v>45</v>
      </c>
      <c r="F7" s="11">
        <f t="shared" si="0"/>
        <v>35</v>
      </c>
    </row>
    <row r="8" spans="1:13" ht="14.25">
      <c r="A8" s="14">
        <v>6</v>
      </c>
      <c r="B8" s="10" t="s">
        <v>62</v>
      </c>
      <c r="C8" s="10" t="s">
        <v>59</v>
      </c>
      <c r="D8" s="10" t="s">
        <v>54</v>
      </c>
      <c r="E8" s="11">
        <v>50</v>
      </c>
      <c r="F8" s="11">
        <f t="shared" si="0"/>
        <v>35</v>
      </c>
    </row>
    <row r="9" spans="1:13" ht="14.25">
      <c r="A9" s="14">
        <v>7</v>
      </c>
      <c r="B9" s="10" t="s">
        <v>63</v>
      </c>
      <c r="C9" s="10" t="s">
        <v>59</v>
      </c>
      <c r="D9" s="10" t="s">
        <v>54</v>
      </c>
      <c r="E9" s="11">
        <v>52</v>
      </c>
      <c r="F9" s="11">
        <f t="shared" si="0"/>
        <v>35</v>
      </c>
    </row>
    <row r="10" spans="1:13" ht="14.25">
      <c r="A10" s="14">
        <v>8</v>
      </c>
      <c r="B10" s="10" t="s">
        <v>64</v>
      </c>
      <c r="C10" s="10" t="s">
        <v>59</v>
      </c>
      <c r="D10" s="10" t="s">
        <v>54</v>
      </c>
      <c r="E10" s="11">
        <v>70</v>
      </c>
      <c r="F10" s="11">
        <f t="shared" si="0"/>
        <v>35</v>
      </c>
    </row>
    <row r="11" spans="1:13" ht="14.25">
      <c r="A11" s="14">
        <v>9</v>
      </c>
      <c r="B11" s="10" t="s">
        <v>65</v>
      </c>
      <c r="C11" s="10" t="s">
        <v>59</v>
      </c>
      <c r="D11" s="10" t="s">
        <v>54</v>
      </c>
      <c r="E11" s="11">
        <v>70</v>
      </c>
      <c r="F11" s="11">
        <f t="shared" si="0"/>
        <v>35</v>
      </c>
    </row>
    <row r="12" spans="1:13" ht="14.25">
      <c r="A12" s="14">
        <v>10</v>
      </c>
      <c r="B12" s="10" t="s">
        <v>66</v>
      </c>
      <c r="C12" s="10" t="s">
        <v>59</v>
      </c>
      <c r="D12" s="10" t="s">
        <v>54</v>
      </c>
      <c r="E12" s="11">
        <v>55</v>
      </c>
      <c r="F12" s="11">
        <f t="shared" si="0"/>
        <v>35</v>
      </c>
    </row>
    <row r="13" spans="1:13" ht="15" customHeight="1">
      <c r="A13" s="14">
        <v>11</v>
      </c>
      <c r="B13" s="10" t="s">
        <v>67</v>
      </c>
      <c r="C13" s="10" t="s">
        <v>68</v>
      </c>
      <c r="D13" s="10" t="s">
        <v>69</v>
      </c>
      <c r="E13" s="11">
        <v>70</v>
      </c>
      <c r="F13" s="11">
        <f t="shared" si="0"/>
        <v>39</v>
      </c>
    </row>
    <row r="14" spans="1:13" ht="14.25">
      <c r="A14" s="14">
        <v>12</v>
      </c>
      <c r="B14" s="10" t="s">
        <v>70</v>
      </c>
      <c r="C14" s="10" t="s">
        <v>68</v>
      </c>
      <c r="D14" s="10" t="s">
        <v>69</v>
      </c>
      <c r="E14" s="11">
        <v>72</v>
      </c>
      <c r="F14" s="11">
        <f t="shared" si="0"/>
        <v>39</v>
      </c>
    </row>
    <row r="15" spans="1:13" ht="14.25">
      <c r="A15" s="14">
        <v>13</v>
      </c>
      <c r="B15" s="10" t="s">
        <v>71</v>
      </c>
      <c r="C15" s="10" t="s">
        <v>68</v>
      </c>
      <c r="D15" s="10" t="s">
        <v>69</v>
      </c>
      <c r="E15" s="11">
        <v>68</v>
      </c>
      <c r="F15" s="11">
        <f t="shared" si="0"/>
        <v>39</v>
      </c>
    </row>
    <row r="16" spans="1:13" ht="14.25">
      <c r="A16" s="14">
        <v>14</v>
      </c>
      <c r="B16" s="10" t="s">
        <v>72</v>
      </c>
      <c r="C16" s="10" t="s">
        <v>68</v>
      </c>
      <c r="D16" s="10" t="s">
        <v>69</v>
      </c>
      <c r="E16" s="11">
        <v>56</v>
      </c>
      <c r="F16" s="11">
        <f t="shared" si="0"/>
        <v>39</v>
      </c>
    </row>
    <row r="17" spans="1:6" ht="14.25">
      <c r="A17" s="14">
        <v>15</v>
      </c>
      <c r="B17" s="10" t="s">
        <v>73</v>
      </c>
      <c r="C17" s="10" t="s">
        <v>68</v>
      </c>
      <c r="D17" s="10" t="s">
        <v>69</v>
      </c>
      <c r="E17" s="11">
        <v>63</v>
      </c>
      <c r="F17" s="11">
        <f t="shared" si="0"/>
        <v>39</v>
      </c>
    </row>
    <row r="18" spans="1:6" ht="14.25">
      <c r="A18" s="14">
        <v>16</v>
      </c>
      <c r="B18" s="10" t="s">
        <v>74</v>
      </c>
      <c r="C18" s="10" t="s">
        <v>75</v>
      </c>
      <c r="D18" s="10" t="s">
        <v>69</v>
      </c>
      <c r="E18" s="11">
        <v>15</v>
      </c>
      <c r="F18" s="11">
        <f t="shared" si="0"/>
        <v>39</v>
      </c>
    </row>
    <row r="19" spans="1:6" ht="14.25">
      <c r="A19" s="14">
        <v>17</v>
      </c>
      <c r="B19" s="10" t="s">
        <v>76</v>
      </c>
      <c r="C19" s="10" t="s">
        <v>77</v>
      </c>
      <c r="D19" s="10" t="s">
        <v>78</v>
      </c>
      <c r="E19" s="11">
        <v>35</v>
      </c>
      <c r="F19" s="11">
        <f t="shared" si="0"/>
        <v>45</v>
      </c>
    </row>
    <row r="20" spans="1:6" ht="14.25">
      <c r="A20" s="14">
        <v>18</v>
      </c>
      <c r="B20" s="10" t="s">
        <v>79</v>
      </c>
      <c r="C20" s="10" t="s">
        <v>59</v>
      </c>
      <c r="D20" s="10" t="s">
        <v>69</v>
      </c>
      <c r="E20" s="11">
        <v>50</v>
      </c>
      <c r="F20" s="11">
        <f t="shared" si="0"/>
        <v>39</v>
      </c>
    </row>
    <row r="21" spans="1:6" ht="14.25">
      <c r="A21" s="14">
        <v>19</v>
      </c>
      <c r="B21" s="10" t="s">
        <v>80</v>
      </c>
      <c r="C21" s="10" t="s">
        <v>77</v>
      </c>
      <c r="D21" s="10" t="s">
        <v>78</v>
      </c>
      <c r="E21" s="11">
        <v>23</v>
      </c>
      <c r="F21" s="11">
        <f t="shared" si="0"/>
        <v>45</v>
      </c>
    </row>
    <row r="22" spans="1:6" ht="14.25">
      <c r="A22" s="14">
        <v>20</v>
      </c>
      <c r="B22" s="10" t="s">
        <v>81</v>
      </c>
      <c r="C22" s="10" t="s">
        <v>59</v>
      </c>
      <c r="D22" s="10" t="s">
        <v>54</v>
      </c>
      <c r="E22" s="11">
        <v>45</v>
      </c>
      <c r="F22" s="11">
        <f t="shared" si="0"/>
        <v>35</v>
      </c>
    </row>
    <row r="23" spans="1:6" ht="14.25">
      <c r="A23" s="14">
        <v>21</v>
      </c>
      <c r="B23" s="10" t="s">
        <v>82</v>
      </c>
      <c r="C23" s="10" t="s">
        <v>59</v>
      </c>
      <c r="D23" s="10" t="s">
        <v>54</v>
      </c>
      <c r="E23" s="11">
        <v>45</v>
      </c>
      <c r="F23" s="11">
        <f t="shared" si="0"/>
        <v>35</v>
      </c>
    </row>
    <row r="24" spans="1:6" ht="14.25">
      <c r="A24" s="14">
        <v>22</v>
      </c>
      <c r="B24" s="10" t="s">
        <v>83</v>
      </c>
      <c r="C24" s="10" t="s">
        <v>75</v>
      </c>
      <c r="D24" s="10" t="s">
        <v>78</v>
      </c>
      <c r="E24" s="11">
        <v>12</v>
      </c>
      <c r="F24" s="11">
        <f t="shared" si="0"/>
        <v>45</v>
      </c>
    </row>
    <row r="25" spans="1:6" ht="14.25">
      <c r="A25" s="14">
        <v>23</v>
      </c>
      <c r="B25" s="10" t="s">
        <v>84</v>
      </c>
      <c r="C25" s="10" t="s">
        <v>85</v>
      </c>
      <c r="D25" s="10" t="s">
        <v>78</v>
      </c>
      <c r="E25" s="11">
        <v>22</v>
      </c>
      <c r="F25" s="11">
        <f t="shared" si="0"/>
        <v>45</v>
      </c>
    </row>
    <row r="26" spans="1:6" ht="14.25">
      <c r="A26" s="14">
        <v>24</v>
      </c>
      <c r="B26" s="10" t="s">
        <v>86</v>
      </c>
      <c r="C26" s="10" t="s">
        <v>87</v>
      </c>
      <c r="D26" s="10" t="s">
        <v>60</v>
      </c>
      <c r="E26" s="11">
        <v>32</v>
      </c>
      <c r="F26" s="11">
        <f t="shared" si="0"/>
        <v>42</v>
      </c>
    </row>
    <row r="27" spans="1:6" ht="14.25">
      <c r="A27" s="14">
        <v>25</v>
      </c>
      <c r="B27" s="10" t="s">
        <v>88</v>
      </c>
      <c r="C27" s="10" t="s">
        <v>87</v>
      </c>
      <c r="D27" s="10" t="s">
        <v>60</v>
      </c>
      <c r="E27" s="11">
        <v>34</v>
      </c>
      <c r="F27" s="11">
        <f t="shared" si="0"/>
        <v>42</v>
      </c>
    </row>
    <row r="28" spans="1:6" ht="16.5" customHeight="1">
      <c r="A28" s="14">
        <v>26</v>
      </c>
      <c r="B28" s="10" t="s">
        <v>89</v>
      </c>
      <c r="C28" s="10" t="s">
        <v>87</v>
      </c>
      <c r="D28" s="10" t="s">
        <v>60</v>
      </c>
      <c r="E28" s="11">
        <v>70</v>
      </c>
      <c r="F28" s="11">
        <f t="shared" si="0"/>
        <v>42</v>
      </c>
    </row>
    <row r="29" spans="1:6" ht="14.25">
      <c r="A29" s="14">
        <v>27</v>
      </c>
      <c r="B29" s="10" t="s">
        <v>90</v>
      </c>
      <c r="C29" s="10" t="s">
        <v>91</v>
      </c>
      <c r="D29" s="10" t="s">
        <v>60</v>
      </c>
      <c r="E29" s="11">
        <v>67</v>
      </c>
      <c r="F29" s="11">
        <f t="shared" si="0"/>
        <v>42</v>
      </c>
    </row>
    <row r="30" spans="1:6" ht="14.25">
      <c r="A30" s="14">
        <v>28</v>
      </c>
      <c r="B30" s="10" t="s">
        <v>92</v>
      </c>
      <c r="C30" s="10" t="s">
        <v>59</v>
      </c>
      <c r="D30" s="10" t="s">
        <v>60</v>
      </c>
      <c r="E30" s="11">
        <v>45</v>
      </c>
      <c r="F30" s="11">
        <f t="shared" si="0"/>
        <v>42</v>
      </c>
    </row>
    <row r="31" spans="1:6" ht="14.25">
      <c r="A31" s="14">
        <v>29</v>
      </c>
      <c r="B31" s="10" t="s">
        <v>93</v>
      </c>
      <c r="C31" s="10" t="s">
        <v>59</v>
      </c>
      <c r="D31" s="10" t="s">
        <v>69</v>
      </c>
      <c r="E31" s="11">
        <v>34</v>
      </c>
      <c r="F31" s="11">
        <f t="shared" si="0"/>
        <v>39</v>
      </c>
    </row>
    <row r="32" spans="1:6" ht="14.25">
      <c r="A32" s="14">
        <v>30</v>
      </c>
      <c r="B32" s="10" t="s">
        <v>94</v>
      </c>
      <c r="C32" s="10" t="s">
        <v>95</v>
      </c>
      <c r="D32" s="10" t="s">
        <v>78</v>
      </c>
      <c r="E32" s="11">
        <v>23</v>
      </c>
      <c r="F32" s="11">
        <f t="shared" si="0"/>
        <v>45</v>
      </c>
    </row>
    <row r="33" spans="1:6" ht="14.25">
      <c r="A33" s="14">
        <v>31</v>
      </c>
      <c r="B33" s="10" t="s">
        <v>96</v>
      </c>
      <c r="C33" s="10" t="s">
        <v>95</v>
      </c>
      <c r="D33" s="10" t="s">
        <v>78</v>
      </c>
      <c r="E33" s="11">
        <v>22</v>
      </c>
      <c r="F33" s="11">
        <f t="shared" si="0"/>
        <v>45</v>
      </c>
    </row>
    <row r="34" spans="1:6" ht="14.25">
      <c r="A34" s="14">
        <v>32</v>
      </c>
      <c r="B34" s="10" t="s">
        <v>97</v>
      </c>
      <c r="C34" s="10" t="s">
        <v>95</v>
      </c>
      <c r="D34" s="10" t="s">
        <v>78</v>
      </c>
      <c r="E34" s="11">
        <v>54</v>
      </c>
      <c r="F34" s="11">
        <f t="shared" si="0"/>
        <v>45</v>
      </c>
    </row>
    <row r="35" spans="1:6" ht="14.25">
      <c r="A35" s="14">
        <v>33</v>
      </c>
      <c r="B35" s="10" t="s">
        <v>98</v>
      </c>
      <c r="C35" s="10" t="s">
        <v>75</v>
      </c>
      <c r="D35" s="10" t="s">
        <v>78</v>
      </c>
      <c r="E35" s="11">
        <v>54</v>
      </c>
      <c r="F35" s="11">
        <f t="shared" si="0"/>
        <v>45</v>
      </c>
    </row>
    <row r="36" spans="1:6" ht="14.25">
      <c r="A36" s="14">
        <v>34</v>
      </c>
      <c r="B36" s="10" t="s">
        <v>99</v>
      </c>
      <c r="C36" s="10" t="s">
        <v>59</v>
      </c>
      <c r="D36" s="10" t="s">
        <v>54</v>
      </c>
      <c r="E36" s="11">
        <v>45</v>
      </c>
      <c r="F36" s="11">
        <f t="shared" si="0"/>
        <v>35</v>
      </c>
    </row>
    <row r="37" spans="1:6" ht="14.25">
      <c r="A37" s="14">
        <v>35</v>
      </c>
      <c r="B37" s="10" t="s">
        <v>100</v>
      </c>
      <c r="C37" s="10" t="s">
        <v>57</v>
      </c>
      <c r="D37" s="10" t="s">
        <v>54</v>
      </c>
      <c r="E37" s="11">
        <v>67</v>
      </c>
      <c r="F37" s="11">
        <f t="shared" si="0"/>
        <v>35</v>
      </c>
    </row>
    <row r="38" spans="1:6" ht="14.25">
      <c r="A38" s="14">
        <v>36</v>
      </c>
      <c r="B38" s="10" t="s">
        <v>101</v>
      </c>
      <c r="C38" s="10" t="s">
        <v>57</v>
      </c>
      <c r="D38" s="10" t="s">
        <v>54</v>
      </c>
      <c r="E38" s="11">
        <v>67</v>
      </c>
      <c r="F38" s="11">
        <f t="shared" si="0"/>
        <v>35</v>
      </c>
    </row>
    <row r="39" spans="1:6" ht="14.25" customHeight="1">
      <c r="A39" s="14">
        <v>37</v>
      </c>
      <c r="B39" s="10" t="s">
        <v>102</v>
      </c>
      <c r="C39" s="10" t="s">
        <v>59</v>
      </c>
      <c r="D39" s="10" t="s">
        <v>54</v>
      </c>
      <c r="E39" s="11">
        <v>45</v>
      </c>
      <c r="F39" s="11">
        <f t="shared" si="0"/>
        <v>35</v>
      </c>
    </row>
    <row r="40" spans="1:6" ht="14.25">
      <c r="A40" s="14">
        <v>38</v>
      </c>
      <c r="B40" s="10" t="s">
        <v>103</v>
      </c>
      <c r="C40" s="10" t="s">
        <v>104</v>
      </c>
      <c r="D40" s="10" t="s">
        <v>60</v>
      </c>
      <c r="E40" s="11">
        <v>65</v>
      </c>
      <c r="F40" s="11">
        <f t="shared" si="0"/>
        <v>42</v>
      </c>
    </row>
    <row r="41" spans="1:6" ht="14.25">
      <c r="A41" s="14">
        <v>39</v>
      </c>
      <c r="B41" s="10" t="s">
        <v>105</v>
      </c>
      <c r="C41" s="10" t="s">
        <v>91</v>
      </c>
      <c r="D41" s="10" t="s">
        <v>54</v>
      </c>
      <c r="E41" s="11">
        <v>52</v>
      </c>
      <c r="F41" s="11">
        <f t="shared" si="0"/>
        <v>35</v>
      </c>
    </row>
    <row r="42" spans="1:6" ht="14.25">
      <c r="A42" s="14">
        <v>40</v>
      </c>
      <c r="B42" s="10" t="s">
        <v>106</v>
      </c>
      <c r="C42" s="10" t="s">
        <v>91</v>
      </c>
      <c r="D42" s="10" t="s">
        <v>54</v>
      </c>
      <c r="E42" s="11">
        <v>50</v>
      </c>
      <c r="F42" s="11">
        <f t="shared" si="0"/>
        <v>35</v>
      </c>
    </row>
    <row r="43" spans="1:6" ht="14.25">
      <c r="A43" s="14">
        <v>41</v>
      </c>
      <c r="B43" s="10" t="s">
        <v>107</v>
      </c>
      <c r="C43" s="10" t="s">
        <v>91</v>
      </c>
      <c r="D43" s="10" t="s">
        <v>54</v>
      </c>
      <c r="E43" s="11">
        <v>28</v>
      </c>
      <c r="F43" s="11">
        <f t="shared" si="0"/>
        <v>35</v>
      </c>
    </row>
    <row r="44" spans="1:6" ht="14.25">
      <c r="A44" s="14">
        <v>42</v>
      </c>
      <c r="B44" s="10" t="s">
        <v>108</v>
      </c>
      <c r="C44" s="10" t="s">
        <v>104</v>
      </c>
      <c r="D44" s="10" t="s">
        <v>54</v>
      </c>
      <c r="E44" s="11">
        <v>30</v>
      </c>
      <c r="F44" s="11">
        <f t="shared" si="0"/>
        <v>35</v>
      </c>
    </row>
    <row r="45" spans="1:6" ht="14.25">
      <c r="A45" s="14">
        <v>43</v>
      </c>
      <c r="B45" s="10" t="s">
        <v>109</v>
      </c>
      <c r="C45" s="10" t="s">
        <v>110</v>
      </c>
      <c r="D45" s="10" t="s">
        <v>54</v>
      </c>
      <c r="E45" s="11">
        <v>65</v>
      </c>
      <c r="F45" s="11">
        <f t="shared" si="0"/>
        <v>35</v>
      </c>
    </row>
    <row r="46" spans="1:6" ht="14.25">
      <c r="A46" s="14">
        <v>44</v>
      </c>
      <c r="B46" s="10" t="s">
        <v>111</v>
      </c>
      <c r="C46" s="10" t="s">
        <v>91</v>
      </c>
      <c r="D46" s="10" t="s">
        <v>54</v>
      </c>
      <c r="E46" s="11">
        <v>34</v>
      </c>
      <c r="F46" s="11">
        <f t="shared" si="0"/>
        <v>35</v>
      </c>
    </row>
    <row r="47" spans="1:6" ht="14.25">
      <c r="A47" s="14">
        <v>45</v>
      </c>
      <c r="B47" s="10" t="s">
        <v>112</v>
      </c>
      <c r="C47" s="10" t="s">
        <v>104</v>
      </c>
      <c r="D47" s="10" t="s">
        <v>69</v>
      </c>
      <c r="E47" s="11">
        <v>50</v>
      </c>
      <c r="F47" s="11">
        <f t="shared" si="0"/>
        <v>39</v>
      </c>
    </row>
    <row r="48" spans="1:6" ht="14.25">
      <c r="A48" s="14">
        <v>46</v>
      </c>
      <c r="B48" s="10" t="s">
        <v>113</v>
      </c>
      <c r="C48" s="10" t="s">
        <v>104</v>
      </c>
      <c r="D48" s="10" t="s">
        <v>54</v>
      </c>
      <c r="E48" s="11">
        <v>34</v>
      </c>
      <c r="F48" s="11">
        <f t="shared" si="0"/>
        <v>35</v>
      </c>
    </row>
    <row r="49" spans="1:6" ht="14.25">
      <c r="A49" s="14">
        <v>47</v>
      </c>
      <c r="B49" s="10" t="s">
        <v>114</v>
      </c>
      <c r="C49" s="10" t="s">
        <v>104</v>
      </c>
      <c r="D49" s="10" t="s">
        <v>69</v>
      </c>
      <c r="E49" s="11">
        <v>43</v>
      </c>
      <c r="F49" s="11">
        <f t="shared" si="0"/>
        <v>39</v>
      </c>
    </row>
    <row r="50" spans="1:6" ht="14.25">
      <c r="A50" s="14">
        <v>48</v>
      </c>
      <c r="B50" s="10" t="s">
        <v>115</v>
      </c>
      <c r="C50" s="10" t="s">
        <v>104</v>
      </c>
      <c r="D50" s="10" t="s">
        <v>60</v>
      </c>
      <c r="E50" s="11">
        <v>45</v>
      </c>
      <c r="F50" s="11">
        <f t="shared" si="0"/>
        <v>42</v>
      </c>
    </row>
    <row r="51" spans="1:6" ht="14.25">
      <c r="A51" s="14">
        <v>49</v>
      </c>
      <c r="B51" s="10" t="s">
        <v>116</v>
      </c>
      <c r="C51" s="10" t="s">
        <v>57</v>
      </c>
      <c r="D51" s="10" t="s">
        <v>54</v>
      </c>
      <c r="E51" s="11">
        <v>45</v>
      </c>
      <c r="F51" s="11">
        <f t="shared" si="0"/>
        <v>35</v>
      </c>
    </row>
    <row r="52" spans="1:6" ht="14.25">
      <c r="A52" s="14">
        <v>50</v>
      </c>
      <c r="B52" s="10" t="s">
        <v>117</v>
      </c>
      <c r="C52" s="10" t="s">
        <v>104</v>
      </c>
      <c r="D52" s="10" t="s">
        <v>60</v>
      </c>
      <c r="E52" s="11">
        <v>38</v>
      </c>
      <c r="F52" s="11">
        <f t="shared" si="0"/>
        <v>42</v>
      </c>
    </row>
    <row r="53" spans="1:6" ht="14.25">
      <c r="A53" s="14">
        <v>51</v>
      </c>
      <c r="B53" s="10" t="s">
        <v>118</v>
      </c>
      <c r="C53" s="10" t="s">
        <v>75</v>
      </c>
      <c r="D53" s="10" t="s">
        <v>54</v>
      </c>
      <c r="E53" s="11">
        <v>37</v>
      </c>
      <c r="F53" s="11">
        <f t="shared" si="0"/>
        <v>35</v>
      </c>
    </row>
    <row r="54" spans="1:6" ht="14.25">
      <c r="A54" s="14">
        <v>52</v>
      </c>
      <c r="B54" s="10" t="s">
        <v>119</v>
      </c>
      <c r="C54" s="10" t="s">
        <v>104</v>
      </c>
      <c r="D54" s="10" t="s">
        <v>69</v>
      </c>
      <c r="E54" s="11">
        <v>43</v>
      </c>
      <c r="F54" s="11">
        <f t="shared" si="0"/>
        <v>39</v>
      </c>
    </row>
    <row r="55" spans="1:6" ht="14.25">
      <c r="A55" s="14">
        <v>53</v>
      </c>
      <c r="B55" s="10" t="s">
        <v>120</v>
      </c>
      <c r="C55" s="10" t="s">
        <v>59</v>
      </c>
      <c r="D55" s="10" t="s">
        <v>69</v>
      </c>
      <c r="E55" s="11">
        <v>34</v>
      </c>
      <c r="F55" s="11">
        <f t="shared" si="0"/>
        <v>39</v>
      </c>
    </row>
    <row r="56" spans="1:6" ht="14.25">
      <c r="A56" s="14">
        <v>54</v>
      </c>
      <c r="B56" s="10" t="s">
        <v>121</v>
      </c>
      <c r="C56" s="10" t="s">
        <v>75</v>
      </c>
      <c r="D56" s="10" t="s">
        <v>69</v>
      </c>
      <c r="E56" s="11">
        <v>30</v>
      </c>
      <c r="F56" s="11">
        <f t="shared" si="0"/>
        <v>39</v>
      </c>
    </row>
    <row r="61" spans="1:6" ht="19.5" customHeight="1">
      <c r="A61" s="16" t="s">
        <v>122</v>
      </c>
      <c r="B61" s="16" t="s">
        <v>123</v>
      </c>
    </row>
    <row r="62" spans="1:6" ht="18" customHeight="1">
      <c r="A62" s="17" t="s">
        <v>54</v>
      </c>
      <c r="B62" s="15">
        <v>35</v>
      </c>
    </row>
    <row r="63" spans="1:6" ht="18" customHeight="1">
      <c r="A63" s="17" t="s">
        <v>69</v>
      </c>
      <c r="B63" s="15">
        <v>39</v>
      </c>
    </row>
    <row r="64" spans="1:6" ht="18" customHeight="1">
      <c r="A64" s="17" t="s">
        <v>60</v>
      </c>
      <c r="B64" s="15">
        <v>42</v>
      </c>
    </row>
    <row r="65" spans="1:7" ht="18" customHeight="1">
      <c r="A65" s="17" t="s">
        <v>78</v>
      </c>
      <c r="B65" s="15">
        <v>45</v>
      </c>
    </row>
    <row r="69" spans="1:7" ht="22.5">
      <c r="A69" t="s">
        <v>132</v>
      </c>
      <c r="B69" s="18" t="s">
        <v>46</v>
      </c>
      <c r="C69" s="19" t="s">
        <v>47</v>
      </c>
      <c r="D69" s="19" t="s">
        <v>48</v>
      </c>
      <c r="E69" s="19" t="s">
        <v>49</v>
      </c>
      <c r="F69" s="19" t="s">
        <v>50</v>
      </c>
      <c r="G69" s="19" t="s">
        <v>51</v>
      </c>
    </row>
    <row r="70" spans="1:7" ht="14.25">
      <c r="B70" s="14">
        <v>18</v>
      </c>
      <c r="C70" s="10" t="s">
        <v>79</v>
      </c>
      <c r="D70" s="10" t="s">
        <v>59</v>
      </c>
      <c r="E70" s="10" t="s">
        <v>69</v>
      </c>
      <c r="F70" s="11">
        <v>50</v>
      </c>
      <c r="G70" s="11">
        <f>VLOOKUP(E70,'Ejercicio 2 .2'!$A$61:$B$65,2,0)</f>
        <v>39</v>
      </c>
    </row>
    <row r="71" spans="1:7" ht="14.25">
      <c r="B71" s="14">
        <v>29</v>
      </c>
      <c r="C71" s="10" t="s">
        <v>93</v>
      </c>
      <c r="D71" s="10" t="s">
        <v>59</v>
      </c>
      <c r="E71" s="10" t="s">
        <v>69</v>
      </c>
      <c r="F71" s="11">
        <v>34</v>
      </c>
      <c r="G71" s="11">
        <f>VLOOKUP(E71,'Ejercicio 2 .2'!$A$61:$B$65,2,0)</f>
        <v>39</v>
      </c>
    </row>
    <row r="72" spans="1:7" ht="28.5">
      <c r="B72" s="14">
        <v>53</v>
      </c>
      <c r="C72" s="10" t="s">
        <v>120</v>
      </c>
      <c r="D72" s="10" t="s">
        <v>59</v>
      </c>
      <c r="E72" s="10" t="s">
        <v>69</v>
      </c>
      <c r="F72" s="11">
        <v>34</v>
      </c>
      <c r="G72" s="11">
        <f>VLOOKUP(E72,'Ejercicio 2 .2'!$A$61:$B$65,2,0)</f>
        <v>39</v>
      </c>
    </row>
    <row r="75" spans="1:7" ht="22.5">
      <c r="A75" t="s">
        <v>133</v>
      </c>
      <c r="B75" s="18" t="s">
        <v>46</v>
      </c>
      <c r="C75" s="19" t="s">
        <v>47</v>
      </c>
      <c r="D75" s="19" t="s">
        <v>48</v>
      </c>
      <c r="E75" s="19" t="s">
        <v>49</v>
      </c>
      <c r="F75" s="19" t="s">
        <v>50</v>
      </c>
      <c r="G75" s="19" t="s">
        <v>51</v>
      </c>
    </row>
    <row r="76" spans="1:7" ht="14.25">
      <c r="B76" s="14">
        <v>8</v>
      </c>
      <c r="C76" s="10" t="s">
        <v>64</v>
      </c>
      <c r="D76" s="10" t="s">
        <v>59</v>
      </c>
      <c r="E76" s="10" t="s">
        <v>54</v>
      </c>
      <c r="F76" s="11">
        <v>70</v>
      </c>
      <c r="G76" s="11">
        <f>VLOOKUP(E76,'Ejercicio 2 .2'!$A$61:$B$65,2,0)</f>
        <v>35</v>
      </c>
    </row>
    <row r="77" spans="1:7" ht="14.25">
      <c r="B77" s="14">
        <v>9</v>
      </c>
      <c r="C77" s="10" t="s">
        <v>65</v>
      </c>
      <c r="D77" s="10" t="s">
        <v>59</v>
      </c>
      <c r="E77" s="10" t="s">
        <v>54</v>
      </c>
      <c r="F77" s="11">
        <v>70</v>
      </c>
      <c r="G77" s="11">
        <f>VLOOKUP(E77,'Ejercicio 2 .2'!$A$61:$B$65,2,0)</f>
        <v>35</v>
      </c>
    </row>
    <row r="78" spans="1:7" ht="14.25">
      <c r="B78" s="14">
        <v>10</v>
      </c>
      <c r="C78" s="10" t="s">
        <v>66</v>
      </c>
      <c r="D78" s="10" t="s">
        <v>59</v>
      </c>
      <c r="E78" s="10" t="s">
        <v>54</v>
      </c>
      <c r="F78" s="11">
        <v>55</v>
      </c>
      <c r="G78" s="11">
        <f>VLOOKUP(E78,'Ejercicio 2 .2'!$A$61:$B$65,2,0)</f>
        <v>35</v>
      </c>
    </row>
    <row r="79" spans="1:7" ht="28.5">
      <c r="B79" s="14">
        <v>45</v>
      </c>
      <c r="C79" s="10" t="s">
        <v>112</v>
      </c>
      <c r="D79" s="10" t="s">
        <v>104</v>
      </c>
      <c r="E79" s="10" t="s">
        <v>69</v>
      </c>
      <c r="F79" s="11">
        <v>50</v>
      </c>
      <c r="G79" s="11">
        <f>VLOOKUP(E79,'Ejercicio 2 .2'!$A$61:$B$65,2,0)</f>
        <v>39</v>
      </c>
    </row>
    <row r="80" spans="1:7" ht="14.25">
      <c r="B80" s="14">
        <v>47</v>
      </c>
      <c r="C80" s="10" t="s">
        <v>114</v>
      </c>
      <c r="D80" s="10" t="s">
        <v>104</v>
      </c>
      <c r="E80" s="10" t="s">
        <v>69</v>
      </c>
      <c r="F80" s="11">
        <v>43</v>
      </c>
      <c r="G80" s="11">
        <f>VLOOKUP(E80,'Ejercicio 2 .2'!$A$61:$B$65,2,0)</f>
        <v>39</v>
      </c>
    </row>
    <row r="83" spans="1:7" ht="22.5">
      <c r="A83" t="s">
        <v>134</v>
      </c>
      <c r="B83" s="18" t="s">
        <v>46</v>
      </c>
      <c r="C83" s="19" t="s">
        <v>47</v>
      </c>
      <c r="D83" s="19" t="s">
        <v>48</v>
      </c>
      <c r="E83" s="19" t="s">
        <v>49</v>
      </c>
      <c r="F83" s="19" t="s">
        <v>50</v>
      </c>
      <c r="G83" s="19" t="s">
        <v>51</v>
      </c>
    </row>
    <row r="84" spans="1:7" ht="28.5">
      <c r="B84" s="14">
        <v>22</v>
      </c>
      <c r="C84" s="10" t="s">
        <v>83</v>
      </c>
      <c r="D84" s="10" t="s">
        <v>75</v>
      </c>
      <c r="E84" s="10" t="s">
        <v>78</v>
      </c>
      <c r="F84" s="11">
        <v>12</v>
      </c>
      <c r="G84" s="11">
        <f>VLOOKUP(E84,'Ejercicio 2 .2'!$A$61:$B$65,2,0)</f>
        <v>45</v>
      </c>
    </row>
    <row r="85" spans="1:7" ht="28.5">
      <c r="B85" s="14">
        <v>33</v>
      </c>
      <c r="C85" s="10" t="s">
        <v>98</v>
      </c>
      <c r="D85" s="10" t="s">
        <v>75</v>
      </c>
      <c r="E85" s="10" t="s">
        <v>78</v>
      </c>
      <c r="F85" s="11">
        <v>54</v>
      </c>
      <c r="G85" s="11">
        <f>VLOOKUP(E85,'Ejercicio 2 .2'!$A$61:$B$65,2,0)</f>
        <v>45</v>
      </c>
    </row>
    <row r="101" spans="1:1">
      <c r="A101" s="8">
        <v>41730</v>
      </c>
    </row>
  </sheetData>
  <mergeCells count="1">
    <mergeCell ref="C1:F1"/>
  </mergeCells>
  <phoneticPr fontId="6" type="noConversion"/>
  <pageMargins left="0.75" right="0.75" top="1" bottom="1" header="0" footer="0"/>
  <pageSetup paperSize="5" orientation="portrait" horizontalDpi="4294967295" verticalDpi="429496729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A360-D01F-4738-9C45-6F58ECAA93F0}">
  <sheetPr>
    <tabColor indexed="46"/>
  </sheetPr>
  <dimension ref="A1:M100"/>
  <sheetViews>
    <sheetView topLeftCell="A66" workbookViewId="0">
      <selection activeCell="O80" sqref="O80"/>
    </sheetView>
  </sheetViews>
  <sheetFormatPr defaultColWidth="11.42578125" defaultRowHeight="12.75"/>
  <cols>
    <col min="1" max="1" width="19.5703125" customWidth="1"/>
    <col min="2" max="2" width="19.7109375" customWidth="1"/>
    <col min="3" max="3" width="17.28515625" customWidth="1"/>
    <col min="4" max="4" width="15" customWidth="1"/>
    <col min="5" max="5" width="17" customWidth="1"/>
    <col min="6" max="6" width="15.140625" customWidth="1"/>
    <col min="9" max="9" width="12.42578125" bestFit="1" customWidth="1"/>
    <col min="10" max="10" width="36.140625" bestFit="1" customWidth="1"/>
    <col min="11" max="35" width="2.85546875" bestFit="1" customWidth="1"/>
    <col min="36" max="36" width="12.42578125" bestFit="1" customWidth="1"/>
  </cols>
  <sheetData>
    <row r="1" spans="1:13" ht="100.5" customHeight="1">
      <c r="A1" s="12" t="s">
        <v>43</v>
      </c>
      <c r="B1" s="13"/>
      <c r="C1" s="68" t="s">
        <v>44</v>
      </c>
      <c r="D1" s="68"/>
      <c r="E1" s="68"/>
      <c r="F1" s="69"/>
      <c r="M1" t="s">
        <v>45</v>
      </c>
    </row>
    <row r="2" spans="1:13" ht="40.5" customHeight="1">
      <c r="A2" s="18" t="s">
        <v>46</v>
      </c>
      <c r="B2" s="19" t="s">
        <v>47</v>
      </c>
      <c r="C2" s="19" t="s">
        <v>48</v>
      </c>
      <c r="D2" s="19" t="s">
        <v>49</v>
      </c>
      <c r="E2" s="19" t="s">
        <v>50</v>
      </c>
      <c r="F2" s="19" t="s">
        <v>51</v>
      </c>
    </row>
    <row r="3" spans="1:13" ht="15" customHeight="1">
      <c r="A3" s="14">
        <v>1</v>
      </c>
      <c r="B3" s="10" t="s">
        <v>52</v>
      </c>
      <c r="C3" s="10" t="s">
        <v>53</v>
      </c>
      <c r="D3" s="10" t="s">
        <v>54</v>
      </c>
      <c r="E3" s="11">
        <v>22</v>
      </c>
      <c r="F3" s="11">
        <f>VLOOKUP(D3,$A$61:$B$65,2,0)</f>
        <v>35</v>
      </c>
    </row>
    <row r="4" spans="1:13" ht="14.25">
      <c r="A4" s="14">
        <v>2</v>
      </c>
      <c r="B4" s="10" t="s">
        <v>55</v>
      </c>
      <c r="C4" s="10" t="s">
        <v>53</v>
      </c>
      <c r="D4" s="10" t="s">
        <v>54</v>
      </c>
      <c r="E4" s="11">
        <v>27</v>
      </c>
      <c r="F4" s="11">
        <f t="shared" ref="F4:F56" si="0">VLOOKUP(D4,$A$61:$B$65,2,0)</f>
        <v>35</v>
      </c>
    </row>
    <row r="5" spans="1:13" ht="14.25">
      <c r="A5" s="14">
        <v>3</v>
      </c>
      <c r="B5" s="10" t="s">
        <v>56</v>
      </c>
      <c r="C5" s="10" t="s">
        <v>57</v>
      </c>
      <c r="D5" s="10" t="s">
        <v>54</v>
      </c>
      <c r="E5" s="11">
        <v>35</v>
      </c>
      <c r="F5" s="11">
        <f t="shared" si="0"/>
        <v>35</v>
      </c>
    </row>
    <row r="6" spans="1:13" ht="16.5" customHeight="1">
      <c r="A6" s="14">
        <v>4</v>
      </c>
      <c r="B6" s="10" t="s">
        <v>58</v>
      </c>
      <c r="C6" s="10" t="s">
        <v>59</v>
      </c>
      <c r="D6" s="10" t="s">
        <v>60</v>
      </c>
      <c r="E6" s="11">
        <v>40</v>
      </c>
      <c r="F6" s="11">
        <f t="shared" si="0"/>
        <v>42</v>
      </c>
    </row>
    <row r="7" spans="1:13" ht="15.75" customHeight="1">
      <c r="A7" s="14">
        <v>5</v>
      </c>
      <c r="B7" s="10" t="s">
        <v>61</v>
      </c>
      <c r="C7" s="10" t="s">
        <v>59</v>
      </c>
      <c r="D7" s="10" t="s">
        <v>54</v>
      </c>
      <c r="E7" s="11">
        <v>45</v>
      </c>
      <c r="F7" s="11">
        <f t="shared" si="0"/>
        <v>35</v>
      </c>
    </row>
    <row r="8" spans="1:13" ht="14.25">
      <c r="A8" s="14">
        <v>6</v>
      </c>
      <c r="B8" s="10" t="s">
        <v>62</v>
      </c>
      <c r="C8" s="10" t="s">
        <v>59</v>
      </c>
      <c r="D8" s="10" t="s">
        <v>54</v>
      </c>
      <c r="E8" s="11">
        <v>50</v>
      </c>
      <c r="F8" s="11">
        <f t="shared" si="0"/>
        <v>35</v>
      </c>
    </row>
    <row r="9" spans="1:13" ht="14.25">
      <c r="A9" s="14">
        <v>7</v>
      </c>
      <c r="B9" s="10" t="s">
        <v>63</v>
      </c>
      <c r="C9" s="10" t="s">
        <v>59</v>
      </c>
      <c r="D9" s="10" t="s">
        <v>54</v>
      </c>
      <c r="E9" s="11">
        <v>52</v>
      </c>
      <c r="F9" s="11">
        <f t="shared" si="0"/>
        <v>35</v>
      </c>
    </row>
    <row r="10" spans="1:13" ht="14.25">
      <c r="A10" s="14">
        <v>8</v>
      </c>
      <c r="B10" s="10" t="s">
        <v>64</v>
      </c>
      <c r="C10" s="10" t="s">
        <v>59</v>
      </c>
      <c r="D10" s="10" t="s">
        <v>54</v>
      </c>
      <c r="E10" s="11">
        <v>70</v>
      </c>
      <c r="F10" s="11">
        <f t="shared" si="0"/>
        <v>35</v>
      </c>
    </row>
    <row r="11" spans="1:13" ht="14.25">
      <c r="A11" s="14">
        <v>9</v>
      </c>
      <c r="B11" s="10" t="s">
        <v>65</v>
      </c>
      <c r="C11" s="10" t="s">
        <v>59</v>
      </c>
      <c r="D11" s="10" t="s">
        <v>54</v>
      </c>
      <c r="E11" s="11">
        <v>70</v>
      </c>
      <c r="F11" s="11">
        <f t="shared" si="0"/>
        <v>35</v>
      </c>
    </row>
    <row r="12" spans="1:13" ht="14.25">
      <c r="A12" s="14">
        <v>10</v>
      </c>
      <c r="B12" s="10" t="s">
        <v>66</v>
      </c>
      <c r="C12" s="10" t="s">
        <v>59</v>
      </c>
      <c r="D12" s="10" t="s">
        <v>54</v>
      </c>
      <c r="E12" s="11">
        <v>55</v>
      </c>
      <c r="F12" s="11">
        <f t="shared" si="0"/>
        <v>35</v>
      </c>
    </row>
    <row r="13" spans="1:13" ht="15" customHeight="1">
      <c r="A13" s="14">
        <v>11</v>
      </c>
      <c r="B13" s="10" t="s">
        <v>67</v>
      </c>
      <c r="C13" s="10" t="s">
        <v>68</v>
      </c>
      <c r="D13" s="10" t="s">
        <v>69</v>
      </c>
      <c r="E13" s="11">
        <v>70</v>
      </c>
      <c r="F13" s="11">
        <f t="shared" si="0"/>
        <v>39</v>
      </c>
    </row>
    <row r="14" spans="1:13" ht="14.25">
      <c r="A14" s="14">
        <v>12</v>
      </c>
      <c r="B14" s="10" t="s">
        <v>70</v>
      </c>
      <c r="C14" s="10" t="s">
        <v>68</v>
      </c>
      <c r="D14" s="10" t="s">
        <v>69</v>
      </c>
      <c r="E14" s="11">
        <v>72</v>
      </c>
      <c r="F14" s="11">
        <f t="shared" si="0"/>
        <v>39</v>
      </c>
    </row>
    <row r="15" spans="1:13" ht="14.25">
      <c r="A15" s="14">
        <v>13</v>
      </c>
      <c r="B15" s="10" t="s">
        <v>71</v>
      </c>
      <c r="C15" s="10" t="s">
        <v>68</v>
      </c>
      <c r="D15" s="10" t="s">
        <v>69</v>
      </c>
      <c r="E15" s="11">
        <v>68</v>
      </c>
      <c r="F15" s="11">
        <f t="shared" si="0"/>
        <v>39</v>
      </c>
    </row>
    <row r="16" spans="1:13" ht="14.25">
      <c r="A16" s="14">
        <v>14</v>
      </c>
      <c r="B16" s="10" t="s">
        <v>72</v>
      </c>
      <c r="C16" s="10" t="s">
        <v>68</v>
      </c>
      <c r="D16" s="10" t="s">
        <v>69</v>
      </c>
      <c r="E16" s="11">
        <v>56</v>
      </c>
      <c r="F16" s="11">
        <f t="shared" si="0"/>
        <v>39</v>
      </c>
    </row>
    <row r="17" spans="1:6" ht="14.25">
      <c r="A17" s="14">
        <v>15</v>
      </c>
      <c r="B17" s="10" t="s">
        <v>73</v>
      </c>
      <c r="C17" s="10" t="s">
        <v>68</v>
      </c>
      <c r="D17" s="10" t="s">
        <v>69</v>
      </c>
      <c r="E17" s="11">
        <v>63</v>
      </c>
      <c r="F17" s="11">
        <f t="shared" si="0"/>
        <v>39</v>
      </c>
    </row>
    <row r="18" spans="1:6" ht="14.25">
      <c r="A18" s="14">
        <v>16</v>
      </c>
      <c r="B18" s="10" t="s">
        <v>74</v>
      </c>
      <c r="C18" s="10" t="s">
        <v>75</v>
      </c>
      <c r="D18" s="10" t="s">
        <v>69</v>
      </c>
      <c r="E18" s="11">
        <v>15</v>
      </c>
      <c r="F18" s="11">
        <f t="shared" si="0"/>
        <v>39</v>
      </c>
    </row>
    <row r="19" spans="1:6" ht="14.25">
      <c r="A19" s="14">
        <v>17</v>
      </c>
      <c r="B19" s="10" t="s">
        <v>76</v>
      </c>
      <c r="C19" s="10" t="s">
        <v>77</v>
      </c>
      <c r="D19" s="10" t="s">
        <v>78</v>
      </c>
      <c r="E19" s="11">
        <v>35</v>
      </c>
      <c r="F19" s="11">
        <f t="shared" si="0"/>
        <v>45</v>
      </c>
    </row>
    <row r="20" spans="1:6" ht="14.25">
      <c r="A20" s="14">
        <v>18</v>
      </c>
      <c r="B20" s="10" t="s">
        <v>79</v>
      </c>
      <c r="C20" s="10" t="s">
        <v>59</v>
      </c>
      <c r="D20" s="10" t="s">
        <v>69</v>
      </c>
      <c r="E20" s="11">
        <v>50</v>
      </c>
      <c r="F20" s="11">
        <f t="shared" si="0"/>
        <v>39</v>
      </c>
    </row>
    <row r="21" spans="1:6" ht="14.25">
      <c r="A21" s="14">
        <v>19</v>
      </c>
      <c r="B21" s="10" t="s">
        <v>80</v>
      </c>
      <c r="C21" s="10" t="s">
        <v>77</v>
      </c>
      <c r="D21" s="10" t="s">
        <v>78</v>
      </c>
      <c r="E21" s="11">
        <v>23</v>
      </c>
      <c r="F21" s="11">
        <f t="shared" si="0"/>
        <v>45</v>
      </c>
    </row>
    <row r="22" spans="1:6" ht="14.25">
      <c r="A22" s="14">
        <v>20</v>
      </c>
      <c r="B22" s="10" t="s">
        <v>81</v>
      </c>
      <c r="C22" s="10" t="s">
        <v>59</v>
      </c>
      <c r="D22" s="10" t="s">
        <v>54</v>
      </c>
      <c r="E22" s="11">
        <v>45</v>
      </c>
      <c r="F22" s="11">
        <f t="shared" si="0"/>
        <v>35</v>
      </c>
    </row>
    <row r="23" spans="1:6" ht="14.25">
      <c r="A23" s="14">
        <v>21</v>
      </c>
      <c r="B23" s="10" t="s">
        <v>82</v>
      </c>
      <c r="C23" s="10" t="s">
        <v>59</v>
      </c>
      <c r="D23" s="10" t="s">
        <v>54</v>
      </c>
      <c r="E23" s="11">
        <v>45</v>
      </c>
      <c r="F23" s="11">
        <f t="shared" si="0"/>
        <v>35</v>
      </c>
    </row>
    <row r="24" spans="1:6" ht="14.25">
      <c r="A24" s="14">
        <v>22</v>
      </c>
      <c r="B24" s="10" t="s">
        <v>83</v>
      </c>
      <c r="C24" s="10" t="s">
        <v>75</v>
      </c>
      <c r="D24" s="10" t="s">
        <v>78</v>
      </c>
      <c r="E24" s="11">
        <v>12</v>
      </c>
      <c r="F24" s="11">
        <f t="shared" si="0"/>
        <v>45</v>
      </c>
    </row>
    <row r="25" spans="1:6" ht="14.25">
      <c r="A25" s="14">
        <v>23</v>
      </c>
      <c r="B25" s="10" t="s">
        <v>84</v>
      </c>
      <c r="C25" s="10" t="s">
        <v>85</v>
      </c>
      <c r="D25" s="10" t="s">
        <v>78</v>
      </c>
      <c r="E25" s="11">
        <v>22</v>
      </c>
      <c r="F25" s="11">
        <f t="shared" si="0"/>
        <v>45</v>
      </c>
    </row>
    <row r="26" spans="1:6" ht="14.25">
      <c r="A26" s="14">
        <v>24</v>
      </c>
      <c r="B26" s="10" t="s">
        <v>86</v>
      </c>
      <c r="C26" s="10" t="s">
        <v>87</v>
      </c>
      <c r="D26" s="10" t="s">
        <v>60</v>
      </c>
      <c r="E26" s="11">
        <v>32</v>
      </c>
      <c r="F26" s="11">
        <f t="shared" si="0"/>
        <v>42</v>
      </c>
    </row>
    <row r="27" spans="1:6" ht="14.25">
      <c r="A27" s="14">
        <v>25</v>
      </c>
      <c r="B27" s="10" t="s">
        <v>88</v>
      </c>
      <c r="C27" s="10" t="s">
        <v>87</v>
      </c>
      <c r="D27" s="10" t="s">
        <v>60</v>
      </c>
      <c r="E27" s="11">
        <v>34</v>
      </c>
      <c r="F27" s="11">
        <f t="shared" si="0"/>
        <v>42</v>
      </c>
    </row>
    <row r="28" spans="1:6" ht="16.5" customHeight="1">
      <c r="A28" s="14">
        <v>26</v>
      </c>
      <c r="B28" s="10" t="s">
        <v>89</v>
      </c>
      <c r="C28" s="10" t="s">
        <v>87</v>
      </c>
      <c r="D28" s="10" t="s">
        <v>60</v>
      </c>
      <c r="E28" s="11">
        <v>70</v>
      </c>
      <c r="F28" s="11">
        <f t="shared" si="0"/>
        <v>42</v>
      </c>
    </row>
    <row r="29" spans="1:6" ht="14.25">
      <c r="A29" s="14">
        <v>27</v>
      </c>
      <c r="B29" s="10" t="s">
        <v>90</v>
      </c>
      <c r="C29" s="10" t="s">
        <v>91</v>
      </c>
      <c r="D29" s="10" t="s">
        <v>60</v>
      </c>
      <c r="E29" s="11">
        <v>67</v>
      </c>
      <c r="F29" s="11">
        <f t="shared" si="0"/>
        <v>42</v>
      </c>
    </row>
    <row r="30" spans="1:6" ht="14.25">
      <c r="A30" s="14">
        <v>28</v>
      </c>
      <c r="B30" s="10" t="s">
        <v>92</v>
      </c>
      <c r="C30" s="10" t="s">
        <v>59</v>
      </c>
      <c r="D30" s="10" t="s">
        <v>60</v>
      </c>
      <c r="E30" s="11">
        <v>45</v>
      </c>
      <c r="F30" s="11">
        <f t="shared" si="0"/>
        <v>42</v>
      </c>
    </row>
    <row r="31" spans="1:6" ht="14.25">
      <c r="A31" s="14">
        <v>29</v>
      </c>
      <c r="B31" s="10" t="s">
        <v>93</v>
      </c>
      <c r="C31" s="10" t="s">
        <v>59</v>
      </c>
      <c r="D31" s="10" t="s">
        <v>69</v>
      </c>
      <c r="E31" s="11">
        <v>34</v>
      </c>
      <c r="F31" s="11">
        <f t="shared" si="0"/>
        <v>39</v>
      </c>
    </row>
    <row r="32" spans="1:6" ht="14.25">
      <c r="A32" s="14">
        <v>30</v>
      </c>
      <c r="B32" s="10" t="s">
        <v>94</v>
      </c>
      <c r="C32" s="10" t="s">
        <v>95</v>
      </c>
      <c r="D32" s="10" t="s">
        <v>78</v>
      </c>
      <c r="E32" s="11">
        <v>23</v>
      </c>
      <c r="F32" s="11">
        <f t="shared" si="0"/>
        <v>45</v>
      </c>
    </row>
    <row r="33" spans="1:6" ht="14.25">
      <c r="A33" s="14">
        <v>31</v>
      </c>
      <c r="B33" s="10" t="s">
        <v>96</v>
      </c>
      <c r="C33" s="10" t="s">
        <v>95</v>
      </c>
      <c r="D33" s="10" t="s">
        <v>78</v>
      </c>
      <c r="E33" s="11">
        <v>22</v>
      </c>
      <c r="F33" s="11">
        <f t="shared" si="0"/>
        <v>45</v>
      </c>
    </row>
    <row r="34" spans="1:6" ht="14.25">
      <c r="A34" s="14">
        <v>32</v>
      </c>
      <c r="B34" s="10" t="s">
        <v>97</v>
      </c>
      <c r="C34" s="10" t="s">
        <v>95</v>
      </c>
      <c r="D34" s="10" t="s">
        <v>78</v>
      </c>
      <c r="E34" s="11">
        <v>54</v>
      </c>
      <c r="F34" s="11">
        <f t="shared" si="0"/>
        <v>45</v>
      </c>
    </row>
    <row r="35" spans="1:6" ht="14.25">
      <c r="A35" s="14">
        <v>33</v>
      </c>
      <c r="B35" s="10" t="s">
        <v>98</v>
      </c>
      <c r="C35" s="10" t="s">
        <v>75</v>
      </c>
      <c r="D35" s="10" t="s">
        <v>78</v>
      </c>
      <c r="E35" s="11">
        <v>54</v>
      </c>
      <c r="F35" s="11">
        <f t="shared" si="0"/>
        <v>45</v>
      </c>
    </row>
    <row r="36" spans="1:6" ht="14.25">
      <c r="A36" s="14">
        <v>34</v>
      </c>
      <c r="B36" s="10" t="s">
        <v>99</v>
      </c>
      <c r="C36" s="10" t="s">
        <v>59</v>
      </c>
      <c r="D36" s="10" t="s">
        <v>54</v>
      </c>
      <c r="E36" s="11">
        <v>45</v>
      </c>
      <c r="F36" s="11">
        <f t="shared" si="0"/>
        <v>35</v>
      </c>
    </row>
    <row r="37" spans="1:6" ht="14.25">
      <c r="A37" s="14">
        <v>35</v>
      </c>
      <c r="B37" s="10" t="s">
        <v>100</v>
      </c>
      <c r="C37" s="10" t="s">
        <v>57</v>
      </c>
      <c r="D37" s="10" t="s">
        <v>54</v>
      </c>
      <c r="E37" s="11">
        <v>67</v>
      </c>
      <c r="F37" s="11">
        <f t="shared" si="0"/>
        <v>35</v>
      </c>
    </row>
    <row r="38" spans="1:6" ht="14.25">
      <c r="A38" s="14">
        <v>36</v>
      </c>
      <c r="B38" s="10" t="s">
        <v>101</v>
      </c>
      <c r="C38" s="10" t="s">
        <v>57</v>
      </c>
      <c r="D38" s="10" t="s">
        <v>54</v>
      </c>
      <c r="E38" s="11">
        <v>67</v>
      </c>
      <c r="F38" s="11">
        <f t="shared" si="0"/>
        <v>35</v>
      </c>
    </row>
    <row r="39" spans="1:6" ht="14.25" customHeight="1">
      <c r="A39" s="14">
        <v>37</v>
      </c>
      <c r="B39" s="10" t="s">
        <v>102</v>
      </c>
      <c r="C39" s="10" t="s">
        <v>59</v>
      </c>
      <c r="D39" s="10" t="s">
        <v>54</v>
      </c>
      <c r="E39" s="11">
        <v>45</v>
      </c>
      <c r="F39" s="11">
        <f t="shared" si="0"/>
        <v>35</v>
      </c>
    </row>
    <row r="40" spans="1:6" ht="14.25">
      <c r="A40" s="14">
        <v>38</v>
      </c>
      <c r="B40" s="10" t="s">
        <v>103</v>
      </c>
      <c r="C40" s="10" t="s">
        <v>104</v>
      </c>
      <c r="D40" s="10" t="s">
        <v>60</v>
      </c>
      <c r="E40" s="11">
        <v>65</v>
      </c>
      <c r="F40" s="11">
        <f t="shared" si="0"/>
        <v>42</v>
      </c>
    </row>
    <row r="41" spans="1:6" ht="14.25">
      <c r="A41" s="14">
        <v>39</v>
      </c>
      <c r="B41" s="10" t="s">
        <v>105</v>
      </c>
      <c r="C41" s="10" t="s">
        <v>91</v>
      </c>
      <c r="D41" s="10" t="s">
        <v>54</v>
      </c>
      <c r="E41" s="11">
        <v>52</v>
      </c>
      <c r="F41" s="11">
        <f t="shared" si="0"/>
        <v>35</v>
      </c>
    </row>
    <row r="42" spans="1:6" ht="14.25">
      <c r="A42" s="14">
        <v>40</v>
      </c>
      <c r="B42" s="10" t="s">
        <v>106</v>
      </c>
      <c r="C42" s="10" t="s">
        <v>91</v>
      </c>
      <c r="D42" s="10" t="s">
        <v>54</v>
      </c>
      <c r="E42" s="11">
        <v>50</v>
      </c>
      <c r="F42" s="11">
        <f t="shared" si="0"/>
        <v>35</v>
      </c>
    </row>
    <row r="43" spans="1:6" ht="14.25">
      <c r="A43" s="14">
        <v>41</v>
      </c>
      <c r="B43" s="10" t="s">
        <v>107</v>
      </c>
      <c r="C43" s="10" t="s">
        <v>91</v>
      </c>
      <c r="D43" s="10" t="s">
        <v>54</v>
      </c>
      <c r="E43" s="11">
        <v>28</v>
      </c>
      <c r="F43" s="11">
        <f t="shared" si="0"/>
        <v>35</v>
      </c>
    </row>
    <row r="44" spans="1:6" ht="14.25">
      <c r="A44" s="14">
        <v>42</v>
      </c>
      <c r="B44" s="10" t="s">
        <v>108</v>
      </c>
      <c r="C44" s="10" t="s">
        <v>104</v>
      </c>
      <c r="D44" s="10" t="s">
        <v>54</v>
      </c>
      <c r="E44" s="11">
        <v>30</v>
      </c>
      <c r="F44" s="11">
        <f t="shared" si="0"/>
        <v>35</v>
      </c>
    </row>
    <row r="45" spans="1:6" ht="14.25">
      <c r="A45" s="14">
        <v>43</v>
      </c>
      <c r="B45" s="10" t="s">
        <v>109</v>
      </c>
      <c r="C45" s="10" t="s">
        <v>110</v>
      </c>
      <c r="D45" s="10" t="s">
        <v>54</v>
      </c>
      <c r="E45" s="11">
        <v>65</v>
      </c>
      <c r="F45" s="11">
        <f t="shared" si="0"/>
        <v>35</v>
      </c>
    </row>
    <row r="46" spans="1:6" ht="14.25">
      <c r="A46" s="14">
        <v>44</v>
      </c>
      <c r="B46" s="10" t="s">
        <v>111</v>
      </c>
      <c r="C46" s="10" t="s">
        <v>91</v>
      </c>
      <c r="D46" s="10" t="s">
        <v>54</v>
      </c>
      <c r="E46" s="11">
        <v>34</v>
      </c>
      <c r="F46" s="11">
        <f t="shared" si="0"/>
        <v>35</v>
      </c>
    </row>
    <row r="47" spans="1:6" ht="14.25">
      <c r="A47" s="14">
        <v>45</v>
      </c>
      <c r="B47" s="10" t="s">
        <v>112</v>
      </c>
      <c r="C47" s="10" t="s">
        <v>104</v>
      </c>
      <c r="D47" s="10" t="s">
        <v>69</v>
      </c>
      <c r="E47" s="11">
        <v>50</v>
      </c>
      <c r="F47" s="11">
        <f t="shared" si="0"/>
        <v>39</v>
      </c>
    </row>
    <row r="48" spans="1:6" ht="14.25">
      <c r="A48" s="14">
        <v>46</v>
      </c>
      <c r="B48" s="10" t="s">
        <v>113</v>
      </c>
      <c r="C48" s="10" t="s">
        <v>104</v>
      </c>
      <c r="D48" s="10" t="s">
        <v>54</v>
      </c>
      <c r="E48" s="11">
        <v>34</v>
      </c>
      <c r="F48" s="11">
        <f t="shared" si="0"/>
        <v>35</v>
      </c>
    </row>
    <row r="49" spans="1:6" ht="14.25">
      <c r="A49" s="14">
        <v>47</v>
      </c>
      <c r="B49" s="10" t="s">
        <v>114</v>
      </c>
      <c r="C49" s="10" t="s">
        <v>104</v>
      </c>
      <c r="D49" s="10" t="s">
        <v>69</v>
      </c>
      <c r="E49" s="11">
        <v>43</v>
      </c>
      <c r="F49" s="11">
        <f t="shared" si="0"/>
        <v>39</v>
      </c>
    </row>
    <row r="50" spans="1:6" ht="14.25">
      <c r="A50" s="14">
        <v>48</v>
      </c>
      <c r="B50" s="10" t="s">
        <v>115</v>
      </c>
      <c r="C50" s="10" t="s">
        <v>104</v>
      </c>
      <c r="D50" s="10" t="s">
        <v>60</v>
      </c>
      <c r="E50" s="11">
        <v>45</v>
      </c>
      <c r="F50" s="11">
        <f t="shared" si="0"/>
        <v>42</v>
      </c>
    </row>
    <row r="51" spans="1:6" ht="14.25">
      <c r="A51" s="14">
        <v>49</v>
      </c>
      <c r="B51" s="10" t="s">
        <v>116</v>
      </c>
      <c r="C51" s="10" t="s">
        <v>57</v>
      </c>
      <c r="D51" s="10" t="s">
        <v>54</v>
      </c>
      <c r="E51" s="11">
        <v>45</v>
      </c>
      <c r="F51" s="11">
        <f t="shared" si="0"/>
        <v>35</v>
      </c>
    </row>
    <row r="52" spans="1:6" ht="14.25">
      <c r="A52" s="14">
        <v>50</v>
      </c>
      <c r="B52" s="10" t="s">
        <v>117</v>
      </c>
      <c r="C52" s="10" t="s">
        <v>104</v>
      </c>
      <c r="D52" s="10" t="s">
        <v>60</v>
      </c>
      <c r="E52" s="11">
        <v>38</v>
      </c>
      <c r="F52" s="11">
        <f t="shared" si="0"/>
        <v>42</v>
      </c>
    </row>
    <row r="53" spans="1:6" ht="14.25">
      <c r="A53" s="14">
        <v>51</v>
      </c>
      <c r="B53" s="10" t="s">
        <v>118</v>
      </c>
      <c r="C53" s="10" t="s">
        <v>75</v>
      </c>
      <c r="D53" s="10" t="s">
        <v>54</v>
      </c>
      <c r="E53" s="11">
        <v>37</v>
      </c>
      <c r="F53" s="11">
        <f t="shared" si="0"/>
        <v>35</v>
      </c>
    </row>
    <row r="54" spans="1:6" ht="14.25">
      <c r="A54" s="14">
        <v>52</v>
      </c>
      <c r="B54" s="10" t="s">
        <v>119</v>
      </c>
      <c r="C54" s="10" t="s">
        <v>104</v>
      </c>
      <c r="D54" s="10" t="s">
        <v>69</v>
      </c>
      <c r="E54" s="11">
        <v>43</v>
      </c>
      <c r="F54" s="11">
        <f t="shared" si="0"/>
        <v>39</v>
      </c>
    </row>
    <row r="55" spans="1:6" ht="14.25">
      <c r="A55" s="14">
        <v>53</v>
      </c>
      <c r="B55" s="10" t="s">
        <v>120</v>
      </c>
      <c r="C55" s="10" t="s">
        <v>59</v>
      </c>
      <c r="D55" s="10" t="s">
        <v>69</v>
      </c>
      <c r="E55" s="11">
        <v>34</v>
      </c>
      <c r="F55" s="11">
        <f t="shared" si="0"/>
        <v>39</v>
      </c>
    </row>
    <row r="56" spans="1:6" ht="14.25">
      <c r="A56" s="14">
        <v>54</v>
      </c>
      <c r="B56" s="10" t="s">
        <v>121</v>
      </c>
      <c r="C56" s="10" t="s">
        <v>75</v>
      </c>
      <c r="D56" s="10" t="s">
        <v>69</v>
      </c>
      <c r="E56" s="11">
        <v>30</v>
      </c>
      <c r="F56" s="11">
        <f t="shared" si="0"/>
        <v>39</v>
      </c>
    </row>
    <row r="61" spans="1:6" ht="19.5" customHeight="1">
      <c r="A61" s="16" t="s">
        <v>122</v>
      </c>
      <c r="B61" s="16" t="s">
        <v>123</v>
      </c>
    </row>
    <row r="62" spans="1:6" ht="18" customHeight="1">
      <c r="A62" s="17" t="s">
        <v>54</v>
      </c>
      <c r="B62" s="15">
        <v>35</v>
      </c>
    </row>
    <row r="63" spans="1:6" ht="18" customHeight="1">
      <c r="A63" s="17" t="s">
        <v>69</v>
      </c>
      <c r="B63" s="15">
        <v>39</v>
      </c>
    </row>
    <row r="64" spans="1:6" ht="18" customHeight="1">
      <c r="A64" s="17" t="s">
        <v>60</v>
      </c>
      <c r="B64" s="15">
        <v>42</v>
      </c>
    </row>
    <row r="65" spans="1:10" ht="18" customHeight="1">
      <c r="A65" s="17" t="s">
        <v>78</v>
      </c>
      <c r="B65" s="15">
        <v>45</v>
      </c>
    </row>
    <row r="73" spans="1:10">
      <c r="A73" s="85" t="s">
        <v>135</v>
      </c>
      <c r="B73" s="85" t="s">
        <v>49</v>
      </c>
      <c r="I73" s="85" t="s">
        <v>48</v>
      </c>
      <c r="J73" t="s">
        <v>136</v>
      </c>
    </row>
    <row r="74" spans="1:10">
      <c r="A74" s="85" t="s">
        <v>48</v>
      </c>
      <c r="B74" t="s">
        <v>54</v>
      </c>
      <c r="C74" t="s">
        <v>69</v>
      </c>
      <c r="D74" t="s">
        <v>60</v>
      </c>
      <c r="E74" t="s">
        <v>78</v>
      </c>
      <c r="F74" t="s">
        <v>36</v>
      </c>
      <c r="I74" t="s">
        <v>68</v>
      </c>
      <c r="J74" s="89">
        <v>65.8</v>
      </c>
    </row>
    <row r="75" spans="1:10">
      <c r="A75" t="s">
        <v>68</v>
      </c>
      <c r="B75" s="86"/>
      <c r="C75" s="86">
        <v>5</v>
      </c>
      <c r="D75" s="86"/>
      <c r="E75" s="86"/>
      <c r="F75" s="86">
        <v>5</v>
      </c>
      <c r="I75" t="s">
        <v>85</v>
      </c>
      <c r="J75" s="89">
        <v>22</v>
      </c>
    </row>
    <row r="76" spans="1:10">
      <c r="A76" t="s">
        <v>85</v>
      </c>
      <c r="B76" s="86"/>
      <c r="C76" s="86"/>
      <c r="D76" s="86"/>
      <c r="E76" s="86">
        <v>1</v>
      </c>
      <c r="F76" s="86">
        <v>1</v>
      </c>
      <c r="I76" t="s">
        <v>110</v>
      </c>
      <c r="J76" s="89">
        <v>65</v>
      </c>
    </row>
    <row r="77" spans="1:10">
      <c r="A77" t="s">
        <v>110</v>
      </c>
      <c r="B77" s="86">
        <v>1</v>
      </c>
      <c r="C77" s="86"/>
      <c r="D77" s="86"/>
      <c r="E77" s="86"/>
      <c r="F77" s="86">
        <v>1</v>
      </c>
      <c r="I77" t="s">
        <v>59</v>
      </c>
      <c r="J77" s="89">
        <v>48.333333333333336</v>
      </c>
    </row>
    <row r="78" spans="1:10">
      <c r="A78" t="s">
        <v>59</v>
      </c>
      <c r="B78" s="86">
        <v>10</v>
      </c>
      <c r="C78" s="86">
        <v>3</v>
      </c>
      <c r="D78" s="86">
        <v>2</v>
      </c>
      <c r="E78" s="86"/>
      <c r="F78" s="86">
        <v>15</v>
      </c>
      <c r="I78" t="s">
        <v>53</v>
      </c>
      <c r="J78" s="89">
        <v>24.5</v>
      </c>
    </row>
    <row r="79" spans="1:10">
      <c r="A79" t="s">
        <v>53</v>
      </c>
      <c r="B79" s="86">
        <v>2</v>
      </c>
      <c r="C79" s="86"/>
      <c r="D79" s="86"/>
      <c r="E79" s="86"/>
      <c r="F79" s="86">
        <v>2</v>
      </c>
      <c r="I79" t="s">
        <v>91</v>
      </c>
      <c r="J79" s="89">
        <v>46.2</v>
      </c>
    </row>
    <row r="80" spans="1:10">
      <c r="A80" t="s">
        <v>91</v>
      </c>
      <c r="B80" s="86">
        <v>4</v>
      </c>
      <c r="C80" s="86"/>
      <c r="D80" s="86">
        <v>1</v>
      </c>
      <c r="E80" s="86"/>
      <c r="F80" s="86">
        <v>5</v>
      </c>
      <c r="I80" t="s">
        <v>104</v>
      </c>
      <c r="J80" s="89">
        <v>43.5</v>
      </c>
    </row>
    <row r="81" spans="1:10">
      <c r="A81" t="s">
        <v>104</v>
      </c>
      <c r="B81" s="86">
        <v>2</v>
      </c>
      <c r="C81" s="86">
        <v>3</v>
      </c>
      <c r="D81" s="86">
        <v>3</v>
      </c>
      <c r="E81" s="86"/>
      <c r="F81" s="86">
        <v>8</v>
      </c>
      <c r="I81" t="s">
        <v>95</v>
      </c>
      <c r="J81" s="89">
        <v>33</v>
      </c>
    </row>
    <row r="82" spans="1:10">
      <c r="A82" t="s">
        <v>95</v>
      </c>
      <c r="B82" s="86"/>
      <c r="C82" s="86"/>
      <c r="D82" s="86"/>
      <c r="E82" s="86">
        <v>3</v>
      </c>
      <c r="F82" s="86">
        <v>3</v>
      </c>
      <c r="I82" t="s">
        <v>57</v>
      </c>
      <c r="J82" s="89">
        <v>53.5</v>
      </c>
    </row>
    <row r="83" spans="1:10">
      <c r="A83" t="s">
        <v>57</v>
      </c>
      <c r="B83" s="86">
        <v>4</v>
      </c>
      <c r="C83" s="86"/>
      <c r="D83" s="86"/>
      <c r="E83" s="86"/>
      <c r="F83" s="86">
        <v>4</v>
      </c>
      <c r="I83" t="s">
        <v>75</v>
      </c>
      <c r="J83" s="89">
        <v>29.6</v>
      </c>
    </row>
    <row r="84" spans="1:10">
      <c r="A84" t="s">
        <v>75</v>
      </c>
      <c r="B84" s="86">
        <v>1</v>
      </c>
      <c r="C84" s="86">
        <v>2</v>
      </c>
      <c r="D84" s="86"/>
      <c r="E84" s="86">
        <v>2</v>
      </c>
      <c r="F84" s="86">
        <v>5</v>
      </c>
      <c r="I84" t="s">
        <v>77</v>
      </c>
      <c r="J84" s="89">
        <v>29</v>
      </c>
    </row>
    <row r="85" spans="1:10">
      <c r="A85" t="s">
        <v>77</v>
      </c>
      <c r="B85" s="86"/>
      <c r="C85" s="86"/>
      <c r="D85" s="86"/>
      <c r="E85" s="86">
        <v>2</v>
      </c>
      <c r="F85" s="86">
        <v>2</v>
      </c>
      <c r="I85" t="s">
        <v>87</v>
      </c>
      <c r="J85" s="89">
        <v>45.333333333333336</v>
      </c>
    </row>
    <row r="86" spans="1:10">
      <c r="A86" t="s">
        <v>87</v>
      </c>
      <c r="B86" s="86"/>
      <c r="C86" s="86"/>
      <c r="D86" s="86">
        <v>3</v>
      </c>
      <c r="E86" s="86"/>
      <c r="F86" s="86">
        <v>3</v>
      </c>
      <c r="I86" t="s">
        <v>36</v>
      </c>
      <c r="J86" s="89">
        <v>44.888888888888886</v>
      </c>
    </row>
    <row r="87" spans="1:10">
      <c r="A87" t="s">
        <v>36</v>
      </c>
      <c r="B87" s="86">
        <v>24</v>
      </c>
      <c r="C87" s="86">
        <v>13</v>
      </c>
      <c r="D87" s="86">
        <v>9</v>
      </c>
      <c r="E87" s="86">
        <v>8</v>
      </c>
      <c r="F87" s="86">
        <v>54</v>
      </c>
    </row>
    <row r="100" spans="1:1">
      <c r="A100" s="8">
        <v>41730</v>
      </c>
    </row>
  </sheetData>
  <autoFilter ref="A2:F56" xr:uid="{180DA360-D01F-4738-9C45-6F58ECAA93F0}"/>
  <mergeCells count="1">
    <mergeCell ref="C1:F1"/>
  </mergeCells>
  <phoneticPr fontId="6" type="noConversion"/>
  <pageMargins left="0.75" right="0.75" top="1" bottom="1" header="0" footer="0"/>
  <pageSetup paperSize="5" orientation="portrait" horizontalDpi="4294967295" verticalDpi="4294967295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23D1-943D-4910-A747-7CD767EF26D4}">
  <sheetPr>
    <tabColor indexed="46"/>
  </sheetPr>
  <dimension ref="A1:M100"/>
  <sheetViews>
    <sheetView workbookViewId="0">
      <selection activeCell="A2" sqref="A2:F56"/>
    </sheetView>
  </sheetViews>
  <sheetFormatPr defaultColWidth="11.42578125" defaultRowHeight="12.75"/>
  <cols>
    <col min="1" max="1" width="12.85546875" customWidth="1"/>
    <col min="2" max="2" width="29.42578125" customWidth="1"/>
    <col min="3" max="3" width="12.140625" customWidth="1"/>
    <col min="4" max="4" width="14.140625" customWidth="1"/>
    <col min="5" max="6" width="14.5703125" customWidth="1"/>
  </cols>
  <sheetData>
    <row r="1" spans="1:13" ht="100.5" customHeight="1">
      <c r="A1" s="12" t="s">
        <v>43</v>
      </c>
      <c r="B1" s="13"/>
      <c r="C1" s="68" t="s">
        <v>44</v>
      </c>
      <c r="D1" s="68"/>
      <c r="E1" s="68"/>
      <c r="F1" s="69"/>
      <c r="M1" t="s">
        <v>45</v>
      </c>
    </row>
    <row r="2" spans="1:13" ht="40.5" customHeight="1">
      <c r="A2" s="18" t="s">
        <v>46</v>
      </c>
      <c r="B2" s="19" t="s">
        <v>47</v>
      </c>
      <c r="C2" s="19" t="s">
        <v>48</v>
      </c>
      <c r="D2" s="19" t="s">
        <v>49</v>
      </c>
      <c r="E2" s="19" t="s">
        <v>50</v>
      </c>
      <c r="F2" s="19" t="s">
        <v>51</v>
      </c>
    </row>
    <row r="3" spans="1:13" ht="15" customHeight="1">
      <c r="A3" s="14">
        <v>1</v>
      </c>
      <c r="B3" s="10" t="s">
        <v>52</v>
      </c>
      <c r="C3" s="10" t="s">
        <v>53</v>
      </c>
      <c r="D3" s="10" t="s">
        <v>54</v>
      </c>
      <c r="E3" s="11">
        <v>22</v>
      </c>
      <c r="F3" s="11">
        <f>VLOOKUP(D3,$A$61:$B$65,2,0)</f>
        <v>35</v>
      </c>
    </row>
    <row r="4" spans="1:13" ht="14.25">
      <c r="A4" s="14">
        <v>2</v>
      </c>
      <c r="B4" s="10" t="s">
        <v>55</v>
      </c>
      <c r="C4" s="10" t="s">
        <v>53</v>
      </c>
      <c r="D4" s="10" t="s">
        <v>54</v>
      </c>
      <c r="E4" s="11">
        <v>27</v>
      </c>
      <c r="F4" s="11">
        <f>VLOOKUP(D4,$A$61:$B$65,2,0)</f>
        <v>35</v>
      </c>
    </row>
    <row r="5" spans="1:13" ht="14.25">
      <c r="A5" s="14">
        <v>3</v>
      </c>
      <c r="B5" s="10" t="s">
        <v>56</v>
      </c>
      <c r="C5" s="10" t="s">
        <v>57</v>
      </c>
      <c r="D5" s="10" t="s">
        <v>54</v>
      </c>
      <c r="E5" s="11">
        <v>35</v>
      </c>
      <c r="F5" s="11">
        <f>VLOOKUP(D5,$A$61:$B$65,2,0)</f>
        <v>35</v>
      </c>
    </row>
    <row r="6" spans="1:13" ht="16.5" customHeight="1">
      <c r="A6" s="14">
        <v>5</v>
      </c>
      <c r="B6" s="10" t="s">
        <v>61</v>
      </c>
      <c r="C6" s="10" t="s">
        <v>59</v>
      </c>
      <c r="D6" s="10" t="s">
        <v>54</v>
      </c>
      <c r="E6" s="11">
        <v>45</v>
      </c>
      <c r="F6" s="11">
        <f>VLOOKUP(D6,$A$61:$B$65,2,0)</f>
        <v>35</v>
      </c>
    </row>
    <row r="7" spans="1:13" ht="15.75" customHeight="1">
      <c r="A7" s="14">
        <v>6</v>
      </c>
      <c r="B7" s="10" t="s">
        <v>62</v>
      </c>
      <c r="C7" s="10" t="s">
        <v>59</v>
      </c>
      <c r="D7" s="10" t="s">
        <v>54</v>
      </c>
      <c r="E7" s="11">
        <v>50</v>
      </c>
      <c r="F7" s="11">
        <f>VLOOKUP(D7,$A$61:$B$65,2,0)</f>
        <v>35</v>
      </c>
    </row>
    <row r="8" spans="1:13" ht="14.25">
      <c r="A8" s="14">
        <v>7</v>
      </c>
      <c r="B8" s="10" t="s">
        <v>63</v>
      </c>
      <c r="C8" s="10" t="s">
        <v>59</v>
      </c>
      <c r="D8" s="10" t="s">
        <v>54</v>
      </c>
      <c r="E8" s="11">
        <v>52</v>
      </c>
      <c r="F8" s="11">
        <f>VLOOKUP(D8,$A$61:$B$65,2,0)</f>
        <v>35</v>
      </c>
    </row>
    <row r="9" spans="1:13" ht="14.25">
      <c r="A9" s="14">
        <v>8</v>
      </c>
      <c r="B9" s="10" t="s">
        <v>64</v>
      </c>
      <c r="C9" s="10" t="s">
        <v>59</v>
      </c>
      <c r="D9" s="10" t="s">
        <v>54</v>
      </c>
      <c r="E9" s="11">
        <v>70</v>
      </c>
      <c r="F9" s="11">
        <f>VLOOKUP(D9,$A$61:$B$65,2,0)</f>
        <v>35</v>
      </c>
    </row>
    <row r="10" spans="1:13" ht="14.25">
      <c r="A10" s="14">
        <v>9</v>
      </c>
      <c r="B10" s="10" t="s">
        <v>65</v>
      </c>
      <c r="C10" s="10" t="s">
        <v>59</v>
      </c>
      <c r="D10" s="10" t="s">
        <v>54</v>
      </c>
      <c r="E10" s="11">
        <v>70</v>
      </c>
      <c r="F10" s="11">
        <f>VLOOKUP(D10,$A$61:$B$65,2,0)</f>
        <v>35</v>
      </c>
    </row>
    <row r="11" spans="1:13" ht="14.25">
      <c r="A11" s="14">
        <v>10</v>
      </c>
      <c r="B11" s="10" t="s">
        <v>66</v>
      </c>
      <c r="C11" s="10" t="s">
        <v>59</v>
      </c>
      <c r="D11" s="10" t="s">
        <v>54</v>
      </c>
      <c r="E11" s="11">
        <v>55</v>
      </c>
      <c r="F11" s="11">
        <f>VLOOKUP(D11,$A$61:$B$65,2,0)</f>
        <v>35</v>
      </c>
    </row>
    <row r="12" spans="1:13" ht="14.25">
      <c r="A12" s="14">
        <v>20</v>
      </c>
      <c r="B12" s="10" t="s">
        <v>81</v>
      </c>
      <c r="C12" s="10" t="s">
        <v>59</v>
      </c>
      <c r="D12" s="10" t="s">
        <v>54</v>
      </c>
      <c r="E12" s="11">
        <v>45</v>
      </c>
      <c r="F12" s="11">
        <f>VLOOKUP(D12,$A$61:$B$65,2,0)</f>
        <v>35</v>
      </c>
    </row>
    <row r="13" spans="1:13" ht="15" customHeight="1">
      <c r="A13" s="14">
        <v>21</v>
      </c>
      <c r="B13" s="10" t="s">
        <v>82</v>
      </c>
      <c r="C13" s="10" t="s">
        <v>59</v>
      </c>
      <c r="D13" s="10" t="s">
        <v>54</v>
      </c>
      <c r="E13" s="11">
        <v>45</v>
      </c>
      <c r="F13" s="11">
        <f>VLOOKUP(D13,$A$61:$B$65,2,0)</f>
        <v>35</v>
      </c>
    </row>
    <row r="14" spans="1:13" ht="14.25">
      <c r="A14" s="14">
        <v>34</v>
      </c>
      <c r="B14" s="10" t="s">
        <v>99</v>
      </c>
      <c r="C14" s="10" t="s">
        <v>59</v>
      </c>
      <c r="D14" s="10" t="s">
        <v>54</v>
      </c>
      <c r="E14" s="11">
        <v>45</v>
      </c>
      <c r="F14" s="11">
        <f>VLOOKUP(D14,$A$61:$B$65,2,0)</f>
        <v>35</v>
      </c>
    </row>
    <row r="15" spans="1:13" ht="14.25">
      <c r="A15" s="14">
        <v>35</v>
      </c>
      <c r="B15" s="10" t="s">
        <v>100</v>
      </c>
      <c r="C15" s="10" t="s">
        <v>57</v>
      </c>
      <c r="D15" s="10" t="s">
        <v>54</v>
      </c>
      <c r="E15" s="11">
        <v>67</v>
      </c>
      <c r="F15" s="11">
        <f>VLOOKUP(D15,$A$61:$B$65,2,0)</f>
        <v>35</v>
      </c>
    </row>
    <row r="16" spans="1:13" ht="14.25">
      <c r="A16" s="14">
        <v>36</v>
      </c>
      <c r="B16" s="10" t="s">
        <v>101</v>
      </c>
      <c r="C16" s="10" t="s">
        <v>57</v>
      </c>
      <c r="D16" s="10" t="s">
        <v>54</v>
      </c>
      <c r="E16" s="11">
        <v>67</v>
      </c>
      <c r="F16" s="11">
        <f>VLOOKUP(D16,$A$61:$B$65,2,0)</f>
        <v>35</v>
      </c>
    </row>
    <row r="17" spans="1:6" ht="14.25">
      <c r="A17" s="14">
        <v>37</v>
      </c>
      <c r="B17" s="10" t="s">
        <v>102</v>
      </c>
      <c r="C17" s="10" t="s">
        <v>59</v>
      </c>
      <c r="D17" s="10" t="s">
        <v>54</v>
      </c>
      <c r="E17" s="11">
        <v>45</v>
      </c>
      <c r="F17" s="11">
        <f>VLOOKUP(D17,$A$61:$B$65,2,0)</f>
        <v>35</v>
      </c>
    </row>
    <row r="18" spans="1:6" ht="14.25">
      <c r="A18" s="14">
        <v>39</v>
      </c>
      <c r="B18" s="10" t="s">
        <v>105</v>
      </c>
      <c r="C18" s="10" t="s">
        <v>91</v>
      </c>
      <c r="D18" s="10" t="s">
        <v>54</v>
      </c>
      <c r="E18" s="11">
        <v>52</v>
      </c>
      <c r="F18" s="11">
        <f>VLOOKUP(D18,$A$61:$B$65,2,0)</f>
        <v>35</v>
      </c>
    </row>
    <row r="19" spans="1:6" ht="14.25">
      <c r="A19" s="14">
        <v>40</v>
      </c>
      <c r="B19" s="10" t="s">
        <v>106</v>
      </c>
      <c r="C19" s="10" t="s">
        <v>91</v>
      </c>
      <c r="D19" s="10" t="s">
        <v>54</v>
      </c>
      <c r="E19" s="11">
        <v>50</v>
      </c>
      <c r="F19" s="11">
        <f>VLOOKUP(D19,$A$61:$B$65,2,0)</f>
        <v>35</v>
      </c>
    </row>
    <row r="20" spans="1:6" ht="14.25">
      <c r="A20" s="14">
        <v>41</v>
      </c>
      <c r="B20" s="10" t="s">
        <v>107</v>
      </c>
      <c r="C20" s="10" t="s">
        <v>91</v>
      </c>
      <c r="D20" s="10" t="s">
        <v>54</v>
      </c>
      <c r="E20" s="11">
        <v>28</v>
      </c>
      <c r="F20" s="11">
        <f>VLOOKUP(D20,$A$61:$B$65,2,0)</f>
        <v>35</v>
      </c>
    </row>
    <row r="21" spans="1:6" ht="14.25">
      <c r="A21" s="14">
        <v>42</v>
      </c>
      <c r="B21" s="10" t="s">
        <v>108</v>
      </c>
      <c r="C21" s="10" t="s">
        <v>104</v>
      </c>
      <c r="D21" s="10" t="s">
        <v>54</v>
      </c>
      <c r="E21" s="11">
        <v>30</v>
      </c>
      <c r="F21" s="11">
        <f>VLOOKUP(D21,$A$61:$B$65,2,0)</f>
        <v>35</v>
      </c>
    </row>
    <row r="22" spans="1:6" ht="14.25">
      <c r="A22" s="14">
        <v>43</v>
      </c>
      <c r="B22" s="10" t="s">
        <v>109</v>
      </c>
      <c r="C22" s="10" t="s">
        <v>110</v>
      </c>
      <c r="D22" s="10" t="s">
        <v>54</v>
      </c>
      <c r="E22" s="11">
        <v>65</v>
      </c>
      <c r="F22" s="11">
        <f>VLOOKUP(D22,$A$61:$B$65,2,0)</f>
        <v>35</v>
      </c>
    </row>
    <row r="23" spans="1:6" ht="14.25">
      <c r="A23" s="14">
        <v>44</v>
      </c>
      <c r="B23" s="10" t="s">
        <v>111</v>
      </c>
      <c r="C23" s="10" t="s">
        <v>91</v>
      </c>
      <c r="D23" s="10" t="s">
        <v>54</v>
      </c>
      <c r="E23" s="11">
        <v>34</v>
      </c>
      <c r="F23" s="11">
        <f>VLOOKUP(D23,$A$61:$B$65,2,0)</f>
        <v>35</v>
      </c>
    </row>
    <row r="24" spans="1:6" ht="14.25">
      <c r="A24" s="14">
        <v>46</v>
      </c>
      <c r="B24" s="10" t="s">
        <v>113</v>
      </c>
      <c r="C24" s="10" t="s">
        <v>104</v>
      </c>
      <c r="D24" s="10" t="s">
        <v>54</v>
      </c>
      <c r="E24" s="11">
        <v>34</v>
      </c>
      <c r="F24" s="11">
        <f>VLOOKUP(D24,$A$61:$B$65,2,0)</f>
        <v>35</v>
      </c>
    </row>
    <row r="25" spans="1:6" ht="14.25">
      <c r="A25" s="14">
        <v>49</v>
      </c>
      <c r="B25" s="10" t="s">
        <v>116</v>
      </c>
      <c r="C25" s="10" t="s">
        <v>57</v>
      </c>
      <c r="D25" s="10" t="s">
        <v>54</v>
      </c>
      <c r="E25" s="11">
        <v>45</v>
      </c>
      <c r="F25" s="11">
        <f>VLOOKUP(D25,$A$61:$B$65,2,0)</f>
        <v>35</v>
      </c>
    </row>
    <row r="26" spans="1:6" ht="14.25">
      <c r="A26" s="14">
        <v>51</v>
      </c>
      <c r="B26" s="10" t="s">
        <v>118</v>
      </c>
      <c r="C26" s="10" t="s">
        <v>75</v>
      </c>
      <c r="D26" s="10" t="s">
        <v>54</v>
      </c>
      <c r="E26" s="11">
        <v>37</v>
      </c>
      <c r="F26" s="11">
        <f>VLOOKUP(D26,$A$61:$B$65,2,0)</f>
        <v>35</v>
      </c>
    </row>
    <row r="27" spans="1:6" ht="14.25">
      <c r="A27" s="14">
        <v>11</v>
      </c>
      <c r="B27" s="10" t="s">
        <v>67</v>
      </c>
      <c r="C27" s="10" t="s">
        <v>68</v>
      </c>
      <c r="D27" s="10" t="s">
        <v>69</v>
      </c>
      <c r="E27" s="11">
        <v>70</v>
      </c>
      <c r="F27" s="11">
        <f>VLOOKUP(D27,$A$61:$B$65,2,0)</f>
        <v>39</v>
      </c>
    </row>
    <row r="28" spans="1:6" ht="16.5" customHeight="1">
      <c r="A28" s="14">
        <v>12</v>
      </c>
      <c r="B28" s="10" t="s">
        <v>70</v>
      </c>
      <c r="C28" s="10" t="s">
        <v>68</v>
      </c>
      <c r="D28" s="10" t="s">
        <v>69</v>
      </c>
      <c r="E28" s="11">
        <v>72</v>
      </c>
      <c r="F28" s="11">
        <f>VLOOKUP(D28,$A$61:$B$65,2,0)</f>
        <v>39</v>
      </c>
    </row>
    <row r="29" spans="1:6" ht="14.25">
      <c r="A29" s="14">
        <v>13</v>
      </c>
      <c r="B29" s="10" t="s">
        <v>71</v>
      </c>
      <c r="C29" s="10" t="s">
        <v>68</v>
      </c>
      <c r="D29" s="10" t="s">
        <v>69</v>
      </c>
      <c r="E29" s="11">
        <v>68</v>
      </c>
      <c r="F29" s="11">
        <f>VLOOKUP(D29,$A$61:$B$65,2,0)</f>
        <v>39</v>
      </c>
    </row>
    <row r="30" spans="1:6" ht="14.25">
      <c r="A30" s="14">
        <v>14</v>
      </c>
      <c r="B30" s="10" t="s">
        <v>72</v>
      </c>
      <c r="C30" s="10" t="s">
        <v>68</v>
      </c>
      <c r="D30" s="10" t="s">
        <v>69</v>
      </c>
      <c r="E30" s="11">
        <v>56</v>
      </c>
      <c r="F30" s="11">
        <f>VLOOKUP(D30,$A$61:$B$65,2,0)</f>
        <v>39</v>
      </c>
    </row>
    <row r="31" spans="1:6" ht="14.25">
      <c r="A31" s="14">
        <v>15</v>
      </c>
      <c r="B31" s="10" t="s">
        <v>73</v>
      </c>
      <c r="C31" s="10" t="s">
        <v>68</v>
      </c>
      <c r="D31" s="10" t="s">
        <v>69</v>
      </c>
      <c r="E31" s="11">
        <v>63</v>
      </c>
      <c r="F31" s="11">
        <f>VLOOKUP(D31,$A$61:$B$65,2,0)</f>
        <v>39</v>
      </c>
    </row>
    <row r="32" spans="1:6" ht="14.25">
      <c r="A32" s="14">
        <v>16</v>
      </c>
      <c r="B32" s="10" t="s">
        <v>74</v>
      </c>
      <c r="C32" s="10" t="s">
        <v>75</v>
      </c>
      <c r="D32" s="10" t="s">
        <v>69</v>
      </c>
      <c r="E32" s="11">
        <v>15</v>
      </c>
      <c r="F32" s="11">
        <f>VLOOKUP(D32,$A$61:$B$65,2,0)</f>
        <v>39</v>
      </c>
    </row>
    <row r="33" spans="1:6" ht="14.25">
      <c r="A33" s="14">
        <v>18</v>
      </c>
      <c r="B33" s="10" t="s">
        <v>79</v>
      </c>
      <c r="C33" s="10" t="s">
        <v>59</v>
      </c>
      <c r="D33" s="10" t="s">
        <v>69</v>
      </c>
      <c r="E33" s="11">
        <v>50</v>
      </c>
      <c r="F33" s="11">
        <f>VLOOKUP(D33,$A$61:$B$65,2,0)</f>
        <v>39</v>
      </c>
    </row>
    <row r="34" spans="1:6" ht="14.25">
      <c r="A34" s="14">
        <v>29</v>
      </c>
      <c r="B34" s="10" t="s">
        <v>93</v>
      </c>
      <c r="C34" s="10" t="s">
        <v>59</v>
      </c>
      <c r="D34" s="10" t="s">
        <v>69</v>
      </c>
      <c r="E34" s="11">
        <v>34</v>
      </c>
      <c r="F34" s="11">
        <f>VLOOKUP(D34,$A$61:$B$65,2,0)</f>
        <v>39</v>
      </c>
    </row>
    <row r="35" spans="1:6" ht="14.25">
      <c r="A35" s="14">
        <v>45</v>
      </c>
      <c r="B35" s="10" t="s">
        <v>112</v>
      </c>
      <c r="C35" s="10" t="s">
        <v>104</v>
      </c>
      <c r="D35" s="10" t="s">
        <v>69</v>
      </c>
      <c r="E35" s="11">
        <v>50</v>
      </c>
      <c r="F35" s="11">
        <f>VLOOKUP(D35,$A$61:$B$65,2,0)</f>
        <v>39</v>
      </c>
    </row>
    <row r="36" spans="1:6" ht="14.25">
      <c r="A36" s="14">
        <v>47</v>
      </c>
      <c r="B36" s="10" t="s">
        <v>114</v>
      </c>
      <c r="C36" s="10" t="s">
        <v>104</v>
      </c>
      <c r="D36" s="10" t="s">
        <v>69</v>
      </c>
      <c r="E36" s="11">
        <v>43</v>
      </c>
      <c r="F36" s="11">
        <f>VLOOKUP(D36,$A$61:$B$65,2,0)</f>
        <v>39</v>
      </c>
    </row>
    <row r="37" spans="1:6" ht="14.25">
      <c r="A37" s="14">
        <v>52</v>
      </c>
      <c r="B37" s="10" t="s">
        <v>119</v>
      </c>
      <c r="C37" s="10" t="s">
        <v>104</v>
      </c>
      <c r="D37" s="10" t="s">
        <v>69</v>
      </c>
      <c r="E37" s="11">
        <v>43</v>
      </c>
      <c r="F37" s="11">
        <f>VLOOKUP(D37,$A$61:$B$65,2,0)</f>
        <v>39</v>
      </c>
    </row>
    <row r="38" spans="1:6" ht="14.25">
      <c r="A38" s="14">
        <v>53</v>
      </c>
      <c r="B38" s="10" t="s">
        <v>120</v>
      </c>
      <c r="C38" s="10" t="s">
        <v>59</v>
      </c>
      <c r="D38" s="10" t="s">
        <v>69</v>
      </c>
      <c r="E38" s="11">
        <v>34</v>
      </c>
      <c r="F38" s="11">
        <f>VLOOKUP(D38,$A$61:$B$65,2,0)</f>
        <v>39</v>
      </c>
    </row>
    <row r="39" spans="1:6" ht="14.25" customHeight="1">
      <c r="A39" s="14">
        <v>54</v>
      </c>
      <c r="B39" s="10" t="s">
        <v>121</v>
      </c>
      <c r="C39" s="10" t="s">
        <v>75</v>
      </c>
      <c r="D39" s="10" t="s">
        <v>69</v>
      </c>
      <c r="E39" s="11">
        <v>30</v>
      </c>
      <c r="F39" s="11">
        <f>VLOOKUP(D39,$A$61:$B$65,2,0)</f>
        <v>39</v>
      </c>
    </row>
    <row r="40" spans="1:6" ht="14.25">
      <c r="A40" s="14">
        <v>4</v>
      </c>
      <c r="B40" s="10" t="s">
        <v>58</v>
      </c>
      <c r="C40" s="10" t="s">
        <v>59</v>
      </c>
      <c r="D40" s="10" t="s">
        <v>60</v>
      </c>
      <c r="E40" s="11">
        <v>40</v>
      </c>
      <c r="F40" s="11">
        <f>VLOOKUP(D40,$A$61:$B$65,2,0)</f>
        <v>42</v>
      </c>
    </row>
    <row r="41" spans="1:6" ht="14.25">
      <c r="A41" s="14">
        <v>24</v>
      </c>
      <c r="B41" s="10" t="s">
        <v>86</v>
      </c>
      <c r="C41" s="10" t="s">
        <v>87</v>
      </c>
      <c r="D41" s="10" t="s">
        <v>60</v>
      </c>
      <c r="E41" s="11">
        <v>32</v>
      </c>
      <c r="F41" s="11">
        <f>VLOOKUP(D41,$A$61:$B$65,2,0)</f>
        <v>42</v>
      </c>
    </row>
    <row r="42" spans="1:6" ht="14.25">
      <c r="A42" s="14">
        <v>25</v>
      </c>
      <c r="B42" s="10" t="s">
        <v>88</v>
      </c>
      <c r="C42" s="10" t="s">
        <v>87</v>
      </c>
      <c r="D42" s="10" t="s">
        <v>60</v>
      </c>
      <c r="E42" s="11">
        <v>34</v>
      </c>
      <c r="F42" s="11">
        <f>VLOOKUP(D42,$A$61:$B$65,2,0)</f>
        <v>42</v>
      </c>
    </row>
    <row r="43" spans="1:6" ht="14.25">
      <c r="A43" s="14">
        <v>26</v>
      </c>
      <c r="B43" s="10" t="s">
        <v>89</v>
      </c>
      <c r="C43" s="10" t="s">
        <v>87</v>
      </c>
      <c r="D43" s="10" t="s">
        <v>60</v>
      </c>
      <c r="E43" s="11">
        <v>70</v>
      </c>
      <c r="F43" s="11">
        <f>VLOOKUP(D43,$A$61:$B$65,2,0)</f>
        <v>42</v>
      </c>
    </row>
    <row r="44" spans="1:6" ht="14.25">
      <c r="A44" s="14">
        <v>27</v>
      </c>
      <c r="B44" s="10" t="s">
        <v>90</v>
      </c>
      <c r="C44" s="10" t="s">
        <v>91</v>
      </c>
      <c r="D44" s="10" t="s">
        <v>60</v>
      </c>
      <c r="E44" s="11">
        <v>67</v>
      </c>
      <c r="F44" s="11">
        <f>VLOOKUP(D44,$A$61:$B$65,2,0)</f>
        <v>42</v>
      </c>
    </row>
    <row r="45" spans="1:6" ht="14.25">
      <c r="A45" s="14">
        <v>28</v>
      </c>
      <c r="B45" s="10" t="s">
        <v>92</v>
      </c>
      <c r="C45" s="10" t="s">
        <v>59</v>
      </c>
      <c r="D45" s="10" t="s">
        <v>60</v>
      </c>
      <c r="E45" s="11">
        <v>45</v>
      </c>
      <c r="F45" s="11">
        <f>VLOOKUP(D45,$A$61:$B$65,2,0)</f>
        <v>42</v>
      </c>
    </row>
    <row r="46" spans="1:6" ht="14.25">
      <c r="A46" s="14">
        <v>38</v>
      </c>
      <c r="B46" s="10" t="s">
        <v>103</v>
      </c>
      <c r="C46" s="10" t="s">
        <v>104</v>
      </c>
      <c r="D46" s="10" t="s">
        <v>60</v>
      </c>
      <c r="E46" s="11">
        <v>65</v>
      </c>
      <c r="F46" s="11">
        <f>VLOOKUP(D46,$A$61:$B$65,2,0)</f>
        <v>42</v>
      </c>
    </row>
    <row r="47" spans="1:6" ht="14.25">
      <c r="A47" s="14">
        <v>48</v>
      </c>
      <c r="B47" s="10" t="s">
        <v>115</v>
      </c>
      <c r="C47" s="10" t="s">
        <v>104</v>
      </c>
      <c r="D47" s="10" t="s">
        <v>60</v>
      </c>
      <c r="E47" s="11">
        <v>45</v>
      </c>
      <c r="F47" s="11">
        <f>VLOOKUP(D47,$A$61:$B$65,2,0)</f>
        <v>42</v>
      </c>
    </row>
    <row r="48" spans="1:6" ht="14.25">
      <c r="A48" s="14">
        <v>50</v>
      </c>
      <c r="B48" s="10" t="s">
        <v>117</v>
      </c>
      <c r="C48" s="10" t="s">
        <v>104</v>
      </c>
      <c r="D48" s="10" t="s">
        <v>60</v>
      </c>
      <c r="E48" s="11">
        <v>38</v>
      </c>
      <c r="F48" s="11">
        <f>VLOOKUP(D48,$A$61:$B$65,2,0)</f>
        <v>42</v>
      </c>
    </row>
    <row r="49" spans="1:6" ht="14.25">
      <c r="A49" s="14">
        <v>17</v>
      </c>
      <c r="B49" s="10" t="s">
        <v>76</v>
      </c>
      <c r="C49" s="10" t="s">
        <v>77</v>
      </c>
      <c r="D49" s="10" t="s">
        <v>78</v>
      </c>
      <c r="E49" s="11">
        <v>35</v>
      </c>
      <c r="F49" s="11">
        <f>VLOOKUP(D49,$A$61:$B$65,2,0)</f>
        <v>45</v>
      </c>
    </row>
    <row r="50" spans="1:6" ht="14.25">
      <c r="A50" s="14">
        <v>19</v>
      </c>
      <c r="B50" s="10" t="s">
        <v>80</v>
      </c>
      <c r="C50" s="10" t="s">
        <v>77</v>
      </c>
      <c r="D50" s="10" t="s">
        <v>78</v>
      </c>
      <c r="E50" s="11">
        <v>23</v>
      </c>
      <c r="F50" s="11">
        <f>VLOOKUP(D50,$A$61:$B$65,2,0)</f>
        <v>45</v>
      </c>
    </row>
    <row r="51" spans="1:6" ht="14.25">
      <c r="A51" s="14">
        <v>22</v>
      </c>
      <c r="B51" s="10" t="s">
        <v>83</v>
      </c>
      <c r="C51" s="10" t="s">
        <v>75</v>
      </c>
      <c r="D51" s="10" t="s">
        <v>78</v>
      </c>
      <c r="E51" s="11">
        <v>12</v>
      </c>
      <c r="F51" s="11">
        <f>VLOOKUP(D51,$A$61:$B$65,2,0)</f>
        <v>45</v>
      </c>
    </row>
    <row r="52" spans="1:6" ht="14.25">
      <c r="A52" s="14">
        <v>23</v>
      </c>
      <c r="B52" s="10" t="s">
        <v>84</v>
      </c>
      <c r="C52" s="10" t="s">
        <v>85</v>
      </c>
      <c r="D52" s="10" t="s">
        <v>78</v>
      </c>
      <c r="E52" s="11">
        <v>22</v>
      </c>
      <c r="F52" s="11">
        <f>VLOOKUP(D52,$A$61:$B$65,2,0)</f>
        <v>45</v>
      </c>
    </row>
    <row r="53" spans="1:6" ht="14.25">
      <c r="A53" s="14">
        <v>30</v>
      </c>
      <c r="B53" s="10" t="s">
        <v>94</v>
      </c>
      <c r="C53" s="10" t="s">
        <v>95</v>
      </c>
      <c r="D53" s="10" t="s">
        <v>78</v>
      </c>
      <c r="E53" s="11">
        <v>23</v>
      </c>
      <c r="F53" s="11">
        <f>VLOOKUP(D53,$A$61:$B$65,2,0)</f>
        <v>45</v>
      </c>
    </row>
    <row r="54" spans="1:6" ht="14.25">
      <c r="A54" s="14">
        <v>31</v>
      </c>
      <c r="B54" s="10" t="s">
        <v>96</v>
      </c>
      <c r="C54" s="10" t="s">
        <v>95</v>
      </c>
      <c r="D54" s="10" t="s">
        <v>78</v>
      </c>
      <c r="E54" s="11">
        <v>22</v>
      </c>
      <c r="F54" s="11">
        <f>VLOOKUP(D54,$A$61:$B$65,2,0)</f>
        <v>45</v>
      </c>
    </row>
    <row r="55" spans="1:6" ht="14.25">
      <c r="A55" s="14">
        <v>32</v>
      </c>
      <c r="B55" s="10" t="s">
        <v>97</v>
      </c>
      <c r="C55" s="10" t="s">
        <v>95</v>
      </c>
      <c r="D55" s="10" t="s">
        <v>78</v>
      </c>
      <c r="E55" s="11">
        <v>54</v>
      </c>
      <c r="F55" s="11">
        <f>VLOOKUP(D55,$A$61:$B$65,2,0)</f>
        <v>45</v>
      </c>
    </row>
    <row r="56" spans="1:6" ht="14.25">
      <c r="A56" s="14">
        <v>33</v>
      </c>
      <c r="B56" s="10" t="s">
        <v>98</v>
      </c>
      <c r="C56" s="10" t="s">
        <v>75</v>
      </c>
      <c r="D56" s="10" t="s">
        <v>78</v>
      </c>
      <c r="E56" s="11">
        <v>54</v>
      </c>
      <c r="F56" s="11">
        <f>VLOOKUP(D56,$A$61:$B$65,2,0)</f>
        <v>45</v>
      </c>
    </row>
    <row r="61" spans="1:6" ht="19.5" customHeight="1">
      <c r="A61" s="16" t="s">
        <v>122</v>
      </c>
      <c r="B61" s="16" t="s">
        <v>123</v>
      </c>
    </row>
    <row r="62" spans="1:6" ht="18" customHeight="1">
      <c r="A62" s="17" t="s">
        <v>54</v>
      </c>
      <c r="B62" s="15">
        <v>35</v>
      </c>
    </row>
    <row r="63" spans="1:6" ht="18" customHeight="1">
      <c r="A63" s="17" t="s">
        <v>69</v>
      </c>
      <c r="B63" s="15">
        <v>39</v>
      </c>
    </row>
    <row r="64" spans="1:6" ht="18" customHeight="1">
      <c r="A64" s="17" t="s">
        <v>60</v>
      </c>
      <c r="B64" s="15">
        <v>42</v>
      </c>
    </row>
    <row r="65" spans="1:2" ht="18" customHeight="1">
      <c r="A65" s="17" t="s">
        <v>78</v>
      </c>
      <c r="B65" s="15">
        <v>45</v>
      </c>
    </row>
    <row r="100" spans="1:1">
      <c r="A100" s="8">
        <v>41730</v>
      </c>
    </row>
  </sheetData>
  <autoFilter ref="A2:F56" xr:uid="{513323D1-943D-4910-A747-7CD767EF26D4}">
    <sortState xmlns:xlrd2="http://schemas.microsoft.com/office/spreadsheetml/2017/richdata2" ref="A3:F56">
      <sortCondition ref="D2:D56"/>
    </sortState>
  </autoFilter>
  <mergeCells count="1">
    <mergeCell ref="C1:F1"/>
  </mergeCells>
  <phoneticPr fontId="6" type="noConversion"/>
  <pageMargins left="0.75" right="0.75" top="1" bottom="1" header="0" footer="0"/>
  <pageSetup paperSize="5" orientation="portrait" horizontalDpi="4294967295" verticalDpi="429496729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5"/>
  </sheetPr>
  <dimension ref="A1:L100"/>
  <sheetViews>
    <sheetView topLeftCell="A78" workbookViewId="0">
      <selection activeCell="M13" sqref="M13"/>
    </sheetView>
  </sheetViews>
  <sheetFormatPr defaultColWidth="11.42578125" defaultRowHeight="12.6"/>
  <cols>
    <col min="1" max="1" width="11.42578125" customWidth="1"/>
    <col min="2" max="2" width="35.42578125" bestFit="1" customWidth="1"/>
    <col min="3" max="3" width="35.5703125" bestFit="1" customWidth="1"/>
    <col min="4" max="4" width="15.42578125" bestFit="1" customWidth="1"/>
    <col min="5" max="5" width="18.42578125" bestFit="1" customWidth="1"/>
    <col min="6" max="6" width="9.42578125" bestFit="1" customWidth="1"/>
    <col min="7" max="7" width="13.42578125" customWidth="1"/>
    <col min="8" max="8" width="14.140625" customWidth="1"/>
    <col min="9" max="9" width="9.42578125" customWidth="1"/>
    <col min="10" max="10" width="13.85546875" customWidth="1"/>
    <col min="11" max="11" width="21" customWidth="1"/>
    <col min="12" max="12" width="12.140625" customWidth="1"/>
  </cols>
  <sheetData>
    <row r="1" spans="1:12" ht="31.5">
      <c r="A1" s="70" t="s">
        <v>137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4" spans="1:12" ht="42.75" customHeight="1">
      <c r="A4" s="20" t="s">
        <v>138</v>
      </c>
      <c r="B4" s="20" t="s">
        <v>139</v>
      </c>
      <c r="C4" s="20" t="s">
        <v>140</v>
      </c>
      <c r="D4" s="20" t="s">
        <v>122</v>
      </c>
      <c r="E4" s="20" t="s">
        <v>141</v>
      </c>
      <c r="F4" s="20" t="s">
        <v>142</v>
      </c>
      <c r="G4" s="20" t="s">
        <v>143</v>
      </c>
      <c r="H4" s="20" t="s">
        <v>144</v>
      </c>
      <c r="I4" s="20" t="s">
        <v>145</v>
      </c>
      <c r="J4" s="20" t="s">
        <v>146</v>
      </c>
      <c r="K4" s="20" t="s">
        <v>147</v>
      </c>
      <c r="L4" s="20" t="s">
        <v>148</v>
      </c>
    </row>
    <row r="5" spans="1:12">
      <c r="A5" s="1">
        <v>1</v>
      </c>
      <c r="B5" s="2" t="s">
        <v>149</v>
      </c>
      <c r="C5" s="2" t="s">
        <v>150</v>
      </c>
      <c r="D5" s="2" t="s">
        <v>151</v>
      </c>
      <c r="E5" s="2" t="s">
        <v>152</v>
      </c>
      <c r="F5" s="4">
        <v>18</v>
      </c>
      <c r="G5" s="3">
        <v>39</v>
      </c>
      <c r="H5" s="3">
        <f>VLOOKUP(D5,$B$85:$D$93,2,0)</f>
        <v>10</v>
      </c>
      <c r="I5" s="97">
        <f>IF(G5=0,H5*3,IF(G5&lt;H5,(G5*H5)*1.1,0))</f>
        <v>0</v>
      </c>
      <c r="J5" s="98">
        <f>G5*F5</f>
        <v>702</v>
      </c>
      <c r="K5" s="99">
        <f>VLOOKUP(D5,$B$85:$D$93,3,0)*G5</f>
        <v>39</v>
      </c>
      <c r="L5" s="99">
        <f>J5+K5</f>
        <v>741</v>
      </c>
    </row>
    <row r="6" spans="1:12">
      <c r="A6" s="1">
        <v>2</v>
      </c>
      <c r="B6" s="2" t="s">
        <v>153</v>
      </c>
      <c r="C6" s="2" t="s">
        <v>150</v>
      </c>
      <c r="D6" s="2" t="s">
        <v>151</v>
      </c>
      <c r="E6" s="2" t="s">
        <v>154</v>
      </c>
      <c r="F6" s="4">
        <v>19</v>
      </c>
      <c r="G6" s="3">
        <v>17</v>
      </c>
      <c r="H6" s="3">
        <f t="shared" ref="H6:H69" si="0">VLOOKUP(D6,$B$85:$D$93,2,0)</f>
        <v>10</v>
      </c>
      <c r="I6" s="97">
        <f t="shared" ref="I6:I69" si="1">IF(G6=0,H6*3,IF(G6&lt;H6,(G6*H6)*1.1,0))</f>
        <v>0</v>
      </c>
      <c r="J6" s="98">
        <f t="shared" ref="J6:J69" si="2">G6*F6</f>
        <v>323</v>
      </c>
      <c r="K6" s="99">
        <f t="shared" ref="K6:K69" si="3">VLOOKUP(D6,$B$85:$D$93,3,0)*G6</f>
        <v>17</v>
      </c>
      <c r="L6" s="99">
        <f t="shared" ref="L6:L69" si="4">J6+K6</f>
        <v>340</v>
      </c>
    </row>
    <row r="7" spans="1:12">
      <c r="A7" s="1">
        <v>24</v>
      </c>
      <c r="B7" s="2" t="s">
        <v>155</v>
      </c>
      <c r="C7" s="2" t="s">
        <v>156</v>
      </c>
      <c r="D7" s="2" t="s">
        <v>151</v>
      </c>
      <c r="E7" s="2" t="s">
        <v>157</v>
      </c>
      <c r="F7" s="4">
        <v>4.5</v>
      </c>
      <c r="G7" s="3">
        <v>50</v>
      </c>
      <c r="H7" s="3">
        <f t="shared" si="0"/>
        <v>10</v>
      </c>
      <c r="I7" s="97">
        <f t="shared" si="1"/>
        <v>0</v>
      </c>
      <c r="J7" s="98">
        <f t="shared" si="2"/>
        <v>225</v>
      </c>
      <c r="K7" s="99">
        <f t="shared" si="3"/>
        <v>50</v>
      </c>
      <c r="L7" s="99">
        <f t="shared" si="4"/>
        <v>275</v>
      </c>
    </row>
    <row r="8" spans="1:12">
      <c r="A8" s="1">
        <v>34</v>
      </c>
      <c r="B8" s="2" t="s">
        <v>158</v>
      </c>
      <c r="C8" s="2" t="s">
        <v>159</v>
      </c>
      <c r="D8" s="2" t="s">
        <v>151</v>
      </c>
      <c r="E8" s="2" t="s">
        <v>154</v>
      </c>
      <c r="F8" s="4">
        <v>14</v>
      </c>
      <c r="G8" s="3">
        <v>111</v>
      </c>
      <c r="H8" s="3">
        <f t="shared" si="0"/>
        <v>10</v>
      </c>
      <c r="I8" s="97">
        <f t="shared" si="1"/>
        <v>0</v>
      </c>
      <c r="J8" s="98">
        <f t="shared" si="2"/>
        <v>1554</v>
      </c>
      <c r="K8" s="99">
        <f t="shared" si="3"/>
        <v>111</v>
      </c>
      <c r="L8" s="99">
        <f t="shared" si="4"/>
        <v>1665</v>
      </c>
    </row>
    <row r="9" spans="1:12">
      <c r="A9" s="1">
        <v>35</v>
      </c>
      <c r="B9" s="2" t="s">
        <v>160</v>
      </c>
      <c r="C9" s="2" t="s">
        <v>159</v>
      </c>
      <c r="D9" s="2" t="s">
        <v>151</v>
      </c>
      <c r="E9" s="2" t="s">
        <v>154</v>
      </c>
      <c r="F9" s="4">
        <v>18</v>
      </c>
      <c r="G9" s="3">
        <v>20</v>
      </c>
      <c r="H9" s="3">
        <f t="shared" si="0"/>
        <v>10</v>
      </c>
      <c r="I9" s="97">
        <f t="shared" si="1"/>
        <v>0</v>
      </c>
      <c r="J9" s="98">
        <f t="shared" si="2"/>
        <v>360</v>
      </c>
      <c r="K9" s="99">
        <f t="shared" si="3"/>
        <v>20</v>
      </c>
      <c r="L9" s="99">
        <f t="shared" si="4"/>
        <v>380</v>
      </c>
    </row>
    <row r="10" spans="1:12">
      <c r="A10" s="1">
        <v>38</v>
      </c>
      <c r="B10" s="2" t="s">
        <v>161</v>
      </c>
      <c r="C10" s="2" t="s">
        <v>162</v>
      </c>
      <c r="D10" s="2" t="s">
        <v>151</v>
      </c>
      <c r="E10" s="2" t="s">
        <v>163</v>
      </c>
      <c r="F10" s="4">
        <v>263.5</v>
      </c>
      <c r="G10" s="3">
        <v>17</v>
      </c>
      <c r="H10" s="3">
        <f t="shared" si="0"/>
        <v>10</v>
      </c>
      <c r="I10" s="97">
        <f t="shared" si="1"/>
        <v>0</v>
      </c>
      <c r="J10" s="98">
        <f t="shared" si="2"/>
        <v>4479.5</v>
      </c>
      <c r="K10" s="99">
        <f t="shared" si="3"/>
        <v>17</v>
      </c>
      <c r="L10" s="99">
        <f t="shared" si="4"/>
        <v>4496.5</v>
      </c>
    </row>
    <row r="11" spans="1:12">
      <c r="A11" s="1">
        <v>39</v>
      </c>
      <c r="B11" s="2" t="s">
        <v>164</v>
      </c>
      <c r="C11" s="2" t="s">
        <v>162</v>
      </c>
      <c r="D11" s="2" t="s">
        <v>151</v>
      </c>
      <c r="E11" s="2" t="s">
        <v>165</v>
      </c>
      <c r="F11" s="4">
        <v>18</v>
      </c>
      <c r="G11" s="3">
        <v>69</v>
      </c>
      <c r="H11" s="3">
        <f t="shared" si="0"/>
        <v>10</v>
      </c>
      <c r="I11" s="97">
        <f t="shared" si="1"/>
        <v>0</v>
      </c>
      <c r="J11" s="98">
        <f t="shared" si="2"/>
        <v>1242</v>
      </c>
      <c r="K11" s="99">
        <f t="shared" si="3"/>
        <v>69</v>
      </c>
      <c r="L11" s="99">
        <f t="shared" si="4"/>
        <v>1311</v>
      </c>
    </row>
    <row r="12" spans="1:12">
      <c r="A12" s="1">
        <v>43</v>
      </c>
      <c r="B12" s="2" t="s">
        <v>166</v>
      </c>
      <c r="C12" s="2" t="s">
        <v>167</v>
      </c>
      <c r="D12" s="2" t="s">
        <v>151</v>
      </c>
      <c r="E12" s="2" t="s">
        <v>168</v>
      </c>
      <c r="F12" s="4">
        <v>46</v>
      </c>
      <c r="G12" s="3">
        <v>17</v>
      </c>
      <c r="H12" s="3">
        <f t="shared" si="0"/>
        <v>10</v>
      </c>
      <c r="I12" s="97">
        <f t="shared" si="1"/>
        <v>0</v>
      </c>
      <c r="J12" s="98">
        <f t="shared" si="2"/>
        <v>782</v>
      </c>
      <c r="K12" s="99">
        <f t="shared" si="3"/>
        <v>17</v>
      </c>
      <c r="L12" s="99">
        <f t="shared" si="4"/>
        <v>799</v>
      </c>
    </row>
    <row r="13" spans="1:12">
      <c r="A13" s="1">
        <v>67</v>
      </c>
      <c r="B13" s="2" t="s">
        <v>169</v>
      </c>
      <c r="C13" s="2" t="s">
        <v>159</v>
      </c>
      <c r="D13" s="2" t="s">
        <v>151</v>
      </c>
      <c r="E13" s="2" t="s">
        <v>154</v>
      </c>
      <c r="F13" s="4">
        <v>14</v>
      </c>
      <c r="G13" s="3">
        <v>52</v>
      </c>
      <c r="H13" s="3">
        <f t="shared" si="0"/>
        <v>10</v>
      </c>
      <c r="I13" s="97">
        <f t="shared" si="1"/>
        <v>0</v>
      </c>
      <c r="J13" s="98">
        <f t="shared" si="2"/>
        <v>728</v>
      </c>
      <c r="K13" s="99">
        <f t="shared" si="3"/>
        <v>52</v>
      </c>
      <c r="L13" s="99">
        <f t="shared" si="4"/>
        <v>780</v>
      </c>
    </row>
    <row r="14" spans="1:12">
      <c r="A14" s="1">
        <v>70</v>
      </c>
      <c r="B14" s="2" t="s">
        <v>170</v>
      </c>
      <c r="C14" s="2" t="s">
        <v>171</v>
      </c>
      <c r="D14" s="2" t="s">
        <v>151</v>
      </c>
      <c r="E14" s="2" t="s">
        <v>172</v>
      </c>
      <c r="F14" s="4">
        <v>15</v>
      </c>
      <c r="G14" s="3">
        <v>15</v>
      </c>
      <c r="H14" s="3">
        <f t="shared" si="0"/>
        <v>10</v>
      </c>
      <c r="I14" s="97">
        <f t="shared" si="1"/>
        <v>0</v>
      </c>
      <c r="J14" s="98">
        <f t="shared" si="2"/>
        <v>225</v>
      </c>
      <c r="K14" s="99">
        <f t="shared" si="3"/>
        <v>15</v>
      </c>
      <c r="L14" s="99">
        <f t="shared" si="4"/>
        <v>240</v>
      </c>
    </row>
    <row r="15" spans="1:12">
      <c r="A15" s="1">
        <v>75</v>
      </c>
      <c r="B15" s="2" t="s">
        <v>173</v>
      </c>
      <c r="C15" s="2" t="s">
        <v>174</v>
      </c>
      <c r="D15" s="2" t="s">
        <v>151</v>
      </c>
      <c r="E15" s="2" t="s">
        <v>175</v>
      </c>
      <c r="F15" s="4">
        <v>7.75</v>
      </c>
      <c r="G15" s="3">
        <v>125</v>
      </c>
      <c r="H15" s="3">
        <f t="shared" si="0"/>
        <v>10</v>
      </c>
      <c r="I15" s="97">
        <f t="shared" si="1"/>
        <v>0</v>
      </c>
      <c r="J15" s="98">
        <f t="shared" si="2"/>
        <v>968.75</v>
      </c>
      <c r="K15" s="99">
        <f t="shared" si="3"/>
        <v>125</v>
      </c>
      <c r="L15" s="99">
        <f t="shared" si="4"/>
        <v>1093.75</v>
      </c>
    </row>
    <row r="16" spans="1:12">
      <c r="A16" s="1">
        <v>76</v>
      </c>
      <c r="B16" s="2" t="s">
        <v>176</v>
      </c>
      <c r="C16" s="2" t="s">
        <v>177</v>
      </c>
      <c r="D16" s="2" t="s">
        <v>151</v>
      </c>
      <c r="E16" s="2" t="s">
        <v>178</v>
      </c>
      <c r="F16" s="4">
        <v>18</v>
      </c>
      <c r="G16" s="3">
        <v>57</v>
      </c>
      <c r="H16" s="3">
        <f t="shared" si="0"/>
        <v>10</v>
      </c>
      <c r="I16" s="97">
        <f t="shared" si="1"/>
        <v>0</v>
      </c>
      <c r="J16" s="98">
        <f t="shared" si="2"/>
        <v>1026</v>
      </c>
      <c r="K16" s="99">
        <f t="shared" si="3"/>
        <v>57</v>
      </c>
      <c r="L16" s="99">
        <f t="shared" si="4"/>
        <v>1083</v>
      </c>
    </row>
    <row r="17" spans="1:12">
      <c r="A17" s="1">
        <v>9</v>
      </c>
      <c r="B17" s="2" t="s">
        <v>179</v>
      </c>
      <c r="C17" s="2" t="s">
        <v>180</v>
      </c>
      <c r="D17" s="2" t="s">
        <v>181</v>
      </c>
      <c r="E17" s="2" t="s">
        <v>182</v>
      </c>
      <c r="F17" s="4">
        <v>97</v>
      </c>
      <c r="G17" s="3">
        <v>29</v>
      </c>
      <c r="H17" s="3">
        <f t="shared" si="0"/>
        <v>20</v>
      </c>
      <c r="I17" s="97">
        <f t="shared" si="1"/>
        <v>0</v>
      </c>
      <c r="J17" s="98">
        <f t="shared" si="2"/>
        <v>2813</v>
      </c>
      <c r="K17" s="99">
        <f t="shared" si="3"/>
        <v>145</v>
      </c>
      <c r="L17" s="99">
        <f t="shared" si="4"/>
        <v>2958</v>
      </c>
    </row>
    <row r="18" spans="1:12">
      <c r="A18" s="1">
        <v>17</v>
      </c>
      <c r="B18" s="2" t="s">
        <v>183</v>
      </c>
      <c r="C18" s="2" t="s">
        <v>171</v>
      </c>
      <c r="D18" s="2" t="s">
        <v>181</v>
      </c>
      <c r="E18" s="2" t="s">
        <v>184</v>
      </c>
      <c r="F18" s="4">
        <v>39</v>
      </c>
      <c r="G18" s="3">
        <v>0</v>
      </c>
      <c r="H18" s="3">
        <f t="shared" si="0"/>
        <v>20</v>
      </c>
      <c r="I18" s="97">
        <f t="shared" si="1"/>
        <v>60</v>
      </c>
      <c r="J18" s="98">
        <f t="shared" si="2"/>
        <v>0</v>
      </c>
      <c r="K18" s="99">
        <f t="shared" si="3"/>
        <v>0</v>
      </c>
      <c r="L18" s="99">
        <f t="shared" si="4"/>
        <v>0</v>
      </c>
    </row>
    <row r="19" spans="1:12">
      <c r="A19" s="1">
        <v>29</v>
      </c>
      <c r="B19" s="2" t="s">
        <v>185</v>
      </c>
      <c r="C19" s="2" t="s">
        <v>174</v>
      </c>
      <c r="D19" s="2" t="s">
        <v>181</v>
      </c>
      <c r="E19" s="2" t="s">
        <v>186</v>
      </c>
      <c r="F19" s="4">
        <v>123.79</v>
      </c>
      <c r="G19" s="3">
        <v>0</v>
      </c>
      <c r="H19" s="3">
        <f t="shared" si="0"/>
        <v>20</v>
      </c>
      <c r="I19" s="97">
        <f t="shared" si="1"/>
        <v>60</v>
      </c>
      <c r="J19" s="98">
        <f t="shared" si="2"/>
        <v>0</v>
      </c>
      <c r="K19" s="99">
        <f t="shared" si="3"/>
        <v>0</v>
      </c>
      <c r="L19" s="99">
        <f t="shared" si="4"/>
        <v>0</v>
      </c>
    </row>
    <row r="20" spans="1:12">
      <c r="A20" s="1">
        <v>53</v>
      </c>
      <c r="B20" s="2" t="s">
        <v>187</v>
      </c>
      <c r="C20" s="2" t="s">
        <v>188</v>
      </c>
      <c r="D20" s="2" t="s">
        <v>181</v>
      </c>
      <c r="E20" s="2" t="s">
        <v>189</v>
      </c>
      <c r="F20" s="4">
        <v>32.799999999999997</v>
      </c>
      <c r="G20" s="3">
        <v>0</v>
      </c>
      <c r="H20" s="3">
        <f t="shared" si="0"/>
        <v>20</v>
      </c>
      <c r="I20" s="97">
        <f t="shared" si="1"/>
        <v>60</v>
      </c>
      <c r="J20" s="98">
        <f t="shared" si="2"/>
        <v>0</v>
      </c>
      <c r="K20" s="99">
        <f t="shared" si="3"/>
        <v>0</v>
      </c>
      <c r="L20" s="99">
        <f t="shared" si="4"/>
        <v>0</v>
      </c>
    </row>
    <row r="21" spans="1:12">
      <c r="A21" s="1">
        <v>54</v>
      </c>
      <c r="B21" s="2" t="s">
        <v>190</v>
      </c>
      <c r="C21" s="2" t="s">
        <v>191</v>
      </c>
      <c r="D21" s="2" t="s">
        <v>181</v>
      </c>
      <c r="E21" s="2" t="s">
        <v>192</v>
      </c>
      <c r="F21" s="4">
        <v>7.45</v>
      </c>
      <c r="G21" s="3">
        <v>21</v>
      </c>
      <c r="H21" s="3">
        <f t="shared" si="0"/>
        <v>20</v>
      </c>
      <c r="I21" s="97">
        <f t="shared" si="1"/>
        <v>0</v>
      </c>
      <c r="J21" s="98">
        <f t="shared" si="2"/>
        <v>156.45000000000002</v>
      </c>
      <c r="K21" s="99">
        <f t="shared" si="3"/>
        <v>105</v>
      </c>
      <c r="L21" s="99">
        <f t="shared" si="4"/>
        <v>261.45000000000005</v>
      </c>
    </row>
    <row r="22" spans="1:12">
      <c r="A22" s="1">
        <v>55</v>
      </c>
      <c r="B22" s="2" t="s">
        <v>193</v>
      </c>
      <c r="C22" s="2" t="s">
        <v>191</v>
      </c>
      <c r="D22" s="2" t="s">
        <v>181</v>
      </c>
      <c r="E22" s="2" t="s">
        <v>194</v>
      </c>
      <c r="F22" s="4">
        <v>24</v>
      </c>
      <c r="G22" s="3">
        <v>115</v>
      </c>
      <c r="H22" s="3">
        <f t="shared" si="0"/>
        <v>20</v>
      </c>
      <c r="I22" s="97">
        <f t="shared" si="1"/>
        <v>0</v>
      </c>
      <c r="J22" s="98">
        <f t="shared" si="2"/>
        <v>2760</v>
      </c>
      <c r="K22" s="99">
        <f t="shared" si="3"/>
        <v>575</v>
      </c>
      <c r="L22" s="99">
        <f t="shared" si="4"/>
        <v>3335</v>
      </c>
    </row>
    <row r="23" spans="1:12">
      <c r="A23" s="1">
        <v>3</v>
      </c>
      <c r="B23" s="2" t="s">
        <v>195</v>
      </c>
      <c r="C23" s="2" t="s">
        <v>150</v>
      </c>
      <c r="D23" s="2" t="s">
        <v>196</v>
      </c>
      <c r="E23" s="2" t="s">
        <v>197</v>
      </c>
      <c r="F23" s="4">
        <v>10</v>
      </c>
      <c r="G23" s="3">
        <v>13</v>
      </c>
      <c r="H23" s="3">
        <f t="shared" si="0"/>
        <v>15</v>
      </c>
      <c r="I23" s="97">
        <f t="shared" si="1"/>
        <v>214.50000000000003</v>
      </c>
      <c r="J23" s="98">
        <f t="shared" si="2"/>
        <v>130</v>
      </c>
      <c r="K23" s="99">
        <f t="shared" si="3"/>
        <v>13</v>
      </c>
      <c r="L23" s="99">
        <f t="shared" si="4"/>
        <v>143</v>
      </c>
    </row>
    <row r="24" spans="1:12">
      <c r="A24" s="1">
        <v>4</v>
      </c>
      <c r="B24" s="2" t="s">
        <v>198</v>
      </c>
      <c r="C24" s="2" t="s">
        <v>199</v>
      </c>
      <c r="D24" s="2" t="s">
        <v>196</v>
      </c>
      <c r="E24" s="2" t="s">
        <v>200</v>
      </c>
      <c r="F24" s="4">
        <v>22</v>
      </c>
      <c r="G24" s="3">
        <v>53</v>
      </c>
      <c r="H24" s="3">
        <f t="shared" si="0"/>
        <v>15</v>
      </c>
      <c r="I24" s="97">
        <f t="shared" si="1"/>
        <v>0</v>
      </c>
      <c r="J24" s="98">
        <f t="shared" si="2"/>
        <v>1166</v>
      </c>
      <c r="K24" s="99">
        <f t="shared" si="3"/>
        <v>53</v>
      </c>
      <c r="L24" s="99">
        <f t="shared" si="4"/>
        <v>1219</v>
      </c>
    </row>
    <row r="25" spans="1:12">
      <c r="A25" s="1">
        <v>5</v>
      </c>
      <c r="B25" s="2" t="s">
        <v>201</v>
      </c>
      <c r="C25" s="2" t="s">
        <v>199</v>
      </c>
      <c r="D25" s="2" t="s">
        <v>196</v>
      </c>
      <c r="E25" s="2" t="s">
        <v>202</v>
      </c>
      <c r="F25" s="4">
        <v>21.35</v>
      </c>
      <c r="G25" s="3">
        <v>0</v>
      </c>
      <c r="H25" s="3">
        <f t="shared" si="0"/>
        <v>15</v>
      </c>
      <c r="I25" s="97">
        <f t="shared" si="1"/>
        <v>45</v>
      </c>
      <c r="J25" s="98">
        <f t="shared" si="2"/>
        <v>0</v>
      </c>
      <c r="K25" s="99">
        <f t="shared" si="3"/>
        <v>0</v>
      </c>
      <c r="L25" s="99">
        <f t="shared" si="4"/>
        <v>0</v>
      </c>
    </row>
    <row r="26" spans="1:12">
      <c r="A26" s="1">
        <v>6</v>
      </c>
      <c r="B26" s="2" t="s">
        <v>203</v>
      </c>
      <c r="C26" s="2" t="s">
        <v>204</v>
      </c>
      <c r="D26" s="2" t="s">
        <v>196</v>
      </c>
      <c r="E26" s="2" t="s">
        <v>205</v>
      </c>
      <c r="F26" s="4">
        <v>25</v>
      </c>
      <c r="G26" s="3">
        <v>120</v>
      </c>
      <c r="H26" s="3">
        <f t="shared" si="0"/>
        <v>15</v>
      </c>
      <c r="I26" s="97">
        <f t="shared" si="1"/>
        <v>0</v>
      </c>
      <c r="J26" s="98">
        <f t="shared" si="2"/>
        <v>3000</v>
      </c>
      <c r="K26" s="99">
        <f t="shared" si="3"/>
        <v>120</v>
      </c>
      <c r="L26" s="99">
        <f t="shared" si="4"/>
        <v>3120</v>
      </c>
    </row>
    <row r="27" spans="1:12">
      <c r="A27" s="1">
        <v>8</v>
      </c>
      <c r="B27" s="2" t="s">
        <v>206</v>
      </c>
      <c r="C27" s="2" t="s">
        <v>204</v>
      </c>
      <c r="D27" s="2" t="s">
        <v>196</v>
      </c>
      <c r="E27" s="2" t="s">
        <v>207</v>
      </c>
      <c r="F27" s="4">
        <v>40</v>
      </c>
      <c r="G27" s="3">
        <v>6</v>
      </c>
      <c r="H27" s="3">
        <f t="shared" si="0"/>
        <v>15</v>
      </c>
      <c r="I27" s="97">
        <f t="shared" si="1"/>
        <v>99.000000000000014</v>
      </c>
      <c r="J27" s="98">
        <f t="shared" si="2"/>
        <v>240</v>
      </c>
      <c r="K27" s="99">
        <f t="shared" si="3"/>
        <v>6</v>
      </c>
      <c r="L27" s="99">
        <f t="shared" si="4"/>
        <v>246</v>
      </c>
    </row>
    <row r="28" spans="1:12">
      <c r="A28" s="1">
        <v>15</v>
      </c>
      <c r="B28" s="2" t="s">
        <v>208</v>
      </c>
      <c r="C28" s="2" t="s">
        <v>209</v>
      </c>
      <c r="D28" s="2" t="s">
        <v>196</v>
      </c>
      <c r="E28" s="2" t="s">
        <v>210</v>
      </c>
      <c r="F28" s="4">
        <v>15.5</v>
      </c>
      <c r="G28" s="3">
        <v>39</v>
      </c>
      <c r="H28" s="3">
        <f t="shared" si="0"/>
        <v>15</v>
      </c>
      <c r="I28" s="97">
        <f t="shared" si="1"/>
        <v>0</v>
      </c>
      <c r="J28" s="98">
        <f t="shared" si="2"/>
        <v>604.5</v>
      </c>
      <c r="K28" s="99">
        <f t="shared" si="3"/>
        <v>39</v>
      </c>
      <c r="L28" s="99">
        <f t="shared" si="4"/>
        <v>643.5</v>
      </c>
    </row>
    <row r="29" spans="1:12">
      <c r="A29" s="1">
        <v>44</v>
      </c>
      <c r="B29" s="2" t="s">
        <v>211</v>
      </c>
      <c r="C29" s="2" t="s">
        <v>167</v>
      </c>
      <c r="D29" s="2" t="s">
        <v>196</v>
      </c>
      <c r="E29" s="2" t="s">
        <v>212</v>
      </c>
      <c r="F29" s="4">
        <v>19.45</v>
      </c>
      <c r="G29" s="3">
        <v>27</v>
      </c>
      <c r="H29" s="3">
        <f t="shared" si="0"/>
        <v>15</v>
      </c>
      <c r="I29" s="97">
        <f t="shared" si="1"/>
        <v>0</v>
      </c>
      <c r="J29" s="98">
        <f t="shared" si="2"/>
        <v>525.15</v>
      </c>
      <c r="K29" s="99">
        <f t="shared" si="3"/>
        <v>27</v>
      </c>
      <c r="L29" s="99">
        <f t="shared" si="4"/>
        <v>552.15</v>
      </c>
    </row>
    <row r="30" spans="1:12">
      <c r="A30" s="1">
        <v>61</v>
      </c>
      <c r="B30" s="2" t="s">
        <v>213</v>
      </c>
      <c r="C30" s="2" t="s">
        <v>214</v>
      </c>
      <c r="D30" s="2" t="s">
        <v>196</v>
      </c>
      <c r="E30" s="2" t="s">
        <v>215</v>
      </c>
      <c r="F30" s="4">
        <v>28.5</v>
      </c>
      <c r="G30" s="3">
        <v>113</v>
      </c>
      <c r="H30" s="3">
        <f t="shared" si="0"/>
        <v>15</v>
      </c>
      <c r="I30" s="97">
        <f t="shared" si="1"/>
        <v>0</v>
      </c>
      <c r="J30" s="98">
        <f t="shared" si="2"/>
        <v>3220.5</v>
      </c>
      <c r="K30" s="99">
        <f t="shared" si="3"/>
        <v>113</v>
      </c>
      <c r="L30" s="99">
        <f t="shared" si="4"/>
        <v>3333.5</v>
      </c>
    </row>
    <row r="31" spans="1:12">
      <c r="A31" s="1">
        <v>63</v>
      </c>
      <c r="B31" s="2" t="s">
        <v>216</v>
      </c>
      <c r="C31" s="2" t="s">
        <v>171</v>
      </c>
      <c r="D31" s="2" t="s">
        <v>196</v>
      </c>
      <c r="E31" s="2" t="s">
        <v>217</v>
      </c>
      <c r="F31" s="4">
        <v>43.9</v>
      </c>
      <c r="G31" s="3">
        <v>24</v>
      </c>
      <c r="H31" s="3">
        <f t="shared" si="0"/>
        <v>15</v>
      </c>
      <c r="I31" s="97">
        <f t="shared" si="1"/>
        <v>0</v>
      </c>
      <c r="J31" s="98">
        <f t="shared" si="2"/>
        <v>1053.5999999999999</v>
      </c>
      <c r="K31" s="99">
        <f t="shared" si="3"/>
        <v>24</v>
      </c>
      <c r="L31" s="99">
        <f t="shared" si="4"/>
        <v>1077.5999999999999</v>
      </c>
    </row>
    <row r="32" spans="1:12">
      <c r="A32" s="1">
        <v>65</v>
      </c>
      <c r="B32" s="2" t="s">
        <v>218</v>
      </c>
      <c r="C32" s="2" t="s">
        <v>199</v>
      </c>
      <c r="D32" s="2" t="s">
        <v>196</v>
      </c>
      <c r="E32" s="2" t="s">
        <v>219</v>
      </c>
      <c r="F32" s="4">
        <v>21.05</v>
      </c>
      <c r="G32" s="3">
        <v>76</v>
      </c>
      <c r="H32" s="3">
        <f t="shared" si="0"/>
        <v>15</v>
      </c>
      <c r="I32" s="97">
        <f t="shared" si="1"/>
        <v>0</v>
      </c>
      <c r="J32" s="98">
        <f t="shared" si="2"/>
        <v>1599.8</v>
      </c>
      <c r="K32" s="99">
        <f t="shared" si="3"/>
        <v>76</v>
      </c>
      <c r="L32" s="99">
        <f t="shared" si="4"/>
        <v>1675.8</v>
      </c>
    </row>
    <row r="33" spans="1:12">
      <c r="A33" s="1">
        <v>66</v>
      </c>
      <c r="B33" s="2" t="s">
        <v>220</v>
      </c>
      <c r="C33" s="2" t="s">
        <v>199</v>
      </c>
      <c r="D33" s="2" t="s">
        <v>196</v>
      </c>
      <c r="E33" s="2" t="s">
        <v>221</v>
      </c>
      <c r="F33" s="4">
        <v>17</v>
      </c>
      <c r="G33" s="3">
        <v>4</v>
      </c>
      <c r="H33" s="3">
        <f t="shared" si="0"/>
        <v>15</v>
      </c>
      <c r="I33" s="97">
        <f t="shared" si="1"/>
        <v>66</v>
      </c>
      <c r="J33" s="98">
        <f t="shared" si="2"/>
        <v>68</v>
      </c>
      <c r="K33" s="99">
        <f t="shared" si="3"/>
        <v>4</v>
      </c>
      <c r="L33" s="99">
        <f t="shared" si="4"/>
        <v>72</v>
      </c>
    </row>
    <row r="34" spans="1:12">
      <c r="A34" s="1">
        <v>77</v>
      </c>
      <c r="B34" s="2" t="s">
        <v>222</v>
      </c>
      <c r="C34" s="2" t="s">
        <v>174</v>
      </c>
      <c r="D34" s="2" t="s">
        <v>196</v>
      </c>
      <c r="E34" s="2" t="s">
        <v>223</v>
      </c>
      <c r="F34" s="4">
        <v>13</v>
      </c>
      <c r="G34" s="3">
        <v>32</v>
      </c>
      <c r="H34" s="3">
        <f t="shared" si="0"/>
        <v>15</v>
      </c>
      <c r="I34" s="97">
        <f t="shared" si="1"/>
        <v>0</v>
      </c>
      <c r="J34" s="98">
        <f t="shared" si="2"/>
        <v>416</v>
      </c>
      <c r="K34" s="99">
        <f t="shared" si="3"/>
        <v>32</v>
      </c>
      <c r="L34" s="99">
        <f t="shared" si="4"/>
        <v>448</v>
      </c>
    </row>
    <row r="35" spans="1:12">
      <c r="A35" s="1">
        <v>7</v>
      </c>
      <c r="B35" s="2" t="s">
        <v>224</v>
      </c>
      <c r="C35" s="2" t="s">
        <v>204</v>
      </c>
      <c r="D35" s="2" t="s">
        <v>225</v>
      </c>
      <c r="E35" s="2" t="s">
        <v>226</v>
      </c>
      <c r="F35" s="4">
        <v>30</v>
      </c>
      <c r="G35" s="3">
        <v>15</v>
      </c>
      <c r="H35" s="3">
        <f t="shared" si="0"/>
        <v>10</v>
      </c>
      <c r="I35" s="97">
        <f t="shared" si="1"/>
        <v>0</v>
      </c>
      <c r="J35" s="98">
        <f t="shared" si="2"/>
        <v>450</v>
      </c>
      <c r="K35" s="99">
        <f t="shared" si="3"/>
        <v>75</v>
      </c>
      <c r="L35" s="99">
        <f t="shared" si="4"/>
        <v>525</v>
      </c>
    </row>
    <row r="36" spans="1:12">
      <c r="A36" s="1">
        <v>14</v>
      </c>
      <c r="B36" s="2" t="s">
        <v>227</v>
      </c>
      <c r="C36" s="2" t="s">
        <v>209</v>
      </c>
      <c r="D36" s="2" t="s">
        <v>225</v>
      </c>
      <c r="E36" s="2" t="s">
        <v>228</v>
      </c>
      <c r="F36" s="4">
        <v>23.25</v>
      </c>
      <c r="G36" s="3">
        <v>35</v>
      </c>
      <c r="H36" s="3">
        <f t="shared" si="0"/>
        <v>10</v>
      </c>
      <c r="I36" s="97">
        <f t="shared" si="1"/>
        <v>0</v>
      </c>
      <c r="J36" s="98">
        <f t="shared" si="2"/>
        <v>813.75</v>
      </c>
      <c r="K36" s="99">
        <f t="shared" si="3"/>
        <v>175</v>
      </c>
      <c r="L36" s="99">
        <f t="shared" si="4"/>
        <v>988.75</v>
      </c>
    </row>
    <row r="37" spans="1:12">
      <c r="A37" s="1">
        <v>28</v>
      </c>
      <c r="B37" s="2" t="s">
        <v>229</v>
      </c>
      <c r="C37" s="2" t="s">
        <v>174</v>
      </c>
      <c r="D37" s="2" t="s">
        <v>225</v>
      </c>
      <c r="E37" s="2" t="s">
        <v>230</v>
      </c>
      <c r="F37" s="4">
        <v>45.6</v>
      </c>
      <c r="G37" s="3">
        <v>26</v>
      </c>
      <c r="H37" s="3">
        <f t="shared" si="0"/>
        <v>10</v>
      </c>
      <c r="I37" s="97">
        <f t="shared" si="1"/>
        <v>0</v>
      </c>
      <c r="J37" s="98">
        <f t="shared" si="2"/>
        <v>1185.6000000000001</v>
      </c>
      <c r="K37" s="99">
        <f t="shared" si="3"/>
        <v>130</v>
      </c>
      <c r="L37" s="99">
        <f t="shared" si="4"/>
        <v>1315.6000000000001</v>
      </c>
    </row>
    <row r="38" spans="1:12">
      <c r="A38" s="1">
        <v>51</v>
      </c>
      <c r="B38" s="2" t="s">
        <v>231</v>
      </c>
      <c r="C38" s="2" t="s">
        <v>188</v>
      </c>
      <c r="D38" s="2" t="s">
        <v>225</v>
      </c>
      <c r="E38" s="2" t="s">
        <v>232</v>
      </c>
      <c r="F38" s="4">
        <v>53</v>
      </c>
      <c r="G38" s="3">
        <v>20</v>
      </c>
      <c r="H38" s="3">
        <f t="shared" si="0"/>
        <v>10</v>
      </c>
      <c r="I38" s="97">
        <f t="shared" si="1"/>
        <v>0</v>
      </c>
      <c r="J38" s="98">
        <f t="shared" si="2"/>
        <v>1060</v>
      </c>
      <c r="K38" s="99">
        <f t="shared" si="3"/>
        <v>100</v>
      </c>
      <c r="L38" s="99">
        <f t="shared" si="4"/>
        <v>1160</v>
      </c>
    </row>
    <row r="39" spans="1:12">
      <c r="A39" s="1">
        <v>74</v>
      </c>
      <c r="B39" s="2" t="s">
        <v>233</v>
      </c>
      <c r="C39" s="2" t="s">
        <v>180</v>
      </c>
      <c r="D39" s="2" t="s">
        <v>225</v>
      </c>
      <c r="E39" s="2" t="s">
        <v>234</v>
      </c>
      <c r="F39" s="4">
        <v>10</v>
      </c>
      <c r="G39" s="3">
        <v>4</v>
      </c>
      <c r="H39" s="3">
        <f t="shared" si="0"/>
        <v>10</v>
      </c>
      <c r="I39" s="97">
        <f t="shared" si="1"/>
        <v>44</v>
      </c>
      <c r="J39" s="98">
        <f t="shared" si="2"/>
        <v>40</v>
      </c>
      <c r="K39" s="99">
        <f t="shared" si="3"/>
        <v>20</v>
      </c>
      <c r="L39" s="99">
        <f t="shared" si="4"/>
        <v>60</v>
      </c>
    </row>
    <row r="40" spans="1:12">
      <c r="A40" s="1">
        <v>22</v>
      </c>
      <c r="B40" s="2" t="s">
        <v>235</v>
      </c>
      <c r="C40" s="2" t="s">
        <v>236</v>
      </c>
      <c r="D40" s="2" t="s">
        <v>237</v>
      </c>
      <c r="E40" s="2" t="s">
        <v>238</v>
      </c>
      <c r="F40" s="4">
        <v>21</v>
      </c>
      <c r="G40" s="3">
        <v>104</v>
      </c>
      <c r="H40" s="3">
        <f t="shared" si="0"/>
        <v>5</v>
      </c>
      <c r="I40" s="97">
        <f t="shared" si="1"/>
        <v>0</v>
      </c>
      <c r="J40" s="98">
        <f t="shared" si="2"/>
        <v>2184</v>
      </c>
      <c r="K40" s="99">
        <f t="shared" si="3"/>
        <v>312</v>
      </c>
      <c r="L40" s="99">
        <f t="shared" si="4"/>
        <v>2496</v>
      </c>
    </row>
    <row r="41" spans="1:12">
      <c r="A41" s="1">
        <v>23</v>
      </c>
      <c r="B41" s="2" t="s">
        <v>239</v>
      </c>
      <c r="C41" s="2" t="s">
        <v>236</v>
      </c>
      <c r="D41" s="2" t="s">
        <v>237</v>
      </c>
      <c r="E41" s="2" t="s">
        <v>240</v>
      </c>
      <c r="F41" s="4">
        <v>9</v>
      </c>
      <c r="G41" s="3">
        <v>61</v>
      </c>
      <c r="H41" s="3">
        <f t="shared" si="0"/>
        <v>5</v>
      </c>
      <c r="I41" s="97">
        <f t="shared" si="1"/>
        <v>0</v>
      </c>
      <c r="J41" s="98">
        <f t="shared" si="2"/>
        <v>549</v>
      </c>
      <c r="K41" s="99">
        <f t="shared" si="3"/>
        <v>183</v>
      </c>
      <c r="L41" s="99">
        <f t="shared" si="4"/>
        <v>732</v>
      </c>
    </row>
    <row r="42" spans="1:12">
      <c r="A42" s="1">
        <v>42</v>
      </c>
      <c r="B42" s="2" t="s">
        <v>241</v>
      </c>
      <c r="C42" s="2" t="s">
        <v>167</v>
      </c>
      <c r="D42" s="2" t="s">
        <v>237</v>
      </c>
      <c r="E42" s="2" t="s">
        <v>242</v>
      </c>
      <c r="F42" s="4">
        <v>14</v>
      </c>
      <c r="G42" s="3">
        <v>26</v>
      </c>
      <c r="H42" s="3">
        <f t="shared" si="0"/>
        <v>5</v>
      </c>
      <c r="I42" s="97">
        <f t="shared" si="1"/>
        <v>0</v>
      </c>
      <c r="J42" s="98">
        <f t="shared" si="2"/>
        <v>364</v>
      </c>
      <c r="K42" s="99">
        <f t="shared" si="3"/>
        <v>78</v>
      </c>
      <c r="L42" s="99">
        <f t="shared" si="4"/>
        <v>442</v>
      </c>
    </row>
    <row r="43" spans="1:12">
      <c r="A43" s="1">
        <v>52</v>
      </c>
      <c r="B43" s="2" t="s">
        <v>243</v>
      </c>
      <c r="C43" s="2" t="s">
        <v>188</v>
      </c>
      <c r="D43" s="2" t="s">
        <v>237</v>
      </c>
      <c r="E43" s="2" t="s">
        <v>244</v>
      </c>
      <c r="F43" s="4">
        <v>7</v>
      </c>
      <c r="G43" s="3">
        <v>38</v>
      </c>
      <c r="H43" s="3">
        <f t="shared" si="0"/>
        <v>5</v>
      </c>
      <c r="I43" s="97">
        <f t="shared" si="1"/>
        <v>0</v>
      </c>
      <c r="J43" s="98">
        <f t="shared" si="2"/>
        <v>266</v>
      </c>
      <c r="K43" s="99">
        <f t="shared" si="3"/>
        <v>114</v>
      </c>
      <c r="L43" s="99">
        <f t="shared" si="4"/>
        <v>380</v>
      </c>
    </row>
    <row r="44" spans="1:12">
      <c r="A44" s="1">
        <v>56</v>
      </c>
      <c r="B44" s="2" t="s">
        <v>245</v>
      </c>
      <c r="C44" s="2" t="s">
        <v>246</v>
      </c>
      <c r="D44" s="2" t="s">
        <v>237</v>
      </c>
      <c r="E44" s="2" t="s">
        <v>247</v>
      </c>
      <c r="F44" s="4">
        <v>38</v>
      </c>
      <c r="G44" s="3">
        <v>21</v>
      </c>
      <c r="H44" s="3">
        <f t="shared" si="0"/>
        <v>5</v>
      </c>
      <c r="I44" s="97">
        <f t="shared" si="1"/>
        <v>0</v>
      </c>
      <c r="J44" s="98">
        <f t="shared" si="2"/>
        <v>798</v>
      </c>
      <c r="K44" s="99">
        <f t="shared" si="3"/>
        <v>63</v>
      </c>
      <c r="L44" s="99">
        <f t="shared" si="4"/>
        <v>861</v>
      </c>
    </row>
    <row r="45" spans="1:12">
      <c r="A45" s="1">
        <v>57</v>
      </c>
      <c r="B45" s="2" t="s">
        <v>248</v>
      </c>
      <c r="C45" s="2" t="s">
        <v>246</v>
      </c>
      <c r="D45" s="2" t="s">
        <v>237</v>
      </c>
      <c r="E45" s="2" t="s">
        <v>247</v>
      </c>
      <c r="F45" s="4">
        <v>19.5</v>
      </c>
      <c r="G45" s="3">
        <v>36</v>
      </c>
      <c r="H45" s="3">
        <f t="shared" si="0"/>
        <v>5</v>
      </c>
      <c r="I45" s="97">
        <f t="shared" si="1"/>
        <v>0</v>
      </c>
      <c r="J45" s="98">
        <f t="shared" si="2"/>
        <v>702</v>
      </c>
      <c r="K45" s="99">
        <f t="shared" si="3"/>
        <v>108</v>
      </c>
      <c r="L45" s="99">
        <f t="shared" si="4"/>
        <v>810</v>
      </c>
    </row>
    <row r="46" spans="1:12">
      <c r="A46" s="1">
        <v>64</v>
      </c>
      <c r="B46" s="2" t="s">
        <v>249</v>
      </c>
      <c r="C46" s="2" t="s">
        <v>174</v>
      </c>
      <c r="D46" s="2" t="s">
        <v>237</v>
      </c>
      <c r="E46" s="2" t="s">
        <v>250</v>
      </c>
      <c r="F46" s="4">
        <v>33.25</v>
      </c>
      <c r="G46" s="3">
        <v>22</v>
      </c>
      <c r="H46" s="3">
        <f t="shared" si="0"/>
        <v>5</v>
      </c>
      <c r="I46" s="97">
        <f t="shared" si="1"/>
        <v>0</v>
      </c>
      <c r="J46" s="98">
        <f t="shared" si="2"/>
        <v>731.5</v>
      </c>
      <c r="K46" s="99">
        <f t="shared" si="3"/>
        <v>66</v>
      </c>
      <c r="L46" s="99">
        <f t="shared" si="4"/>
        <v>797.5</v>
      </c>
    </row>
    <row r="47" spans="1:12">
      <c r="A47" s="1">
        <v>11</v>
      </c>
      <c r="B47" s="2" t="s">
        <v>251</v>
      </c>
      <c r="C47" s="2" t="s">
        <v>252</v>
      </c>
      <c r="D47" s="2" t="s">
        <v>253</v>
      </c>
      <c r="E47" s="2" t="s">
        <v>254</v>
      </c>
      <c r="F47" s="4">
        <v>21</v>
      </c>
      <c r="G47" s="3">
        <v>22</v>
      </c>
      <c r="H47" s="3">
        <f t="shared" si="0"/>
        <v>10</v>
      </c>
      <c r="I47" s="97">
        <f t="shared" si="1"/>
        <v>0</v>
      </c>
      <c r="J47" s="98">
        <f t="shared" si="2"/>
        <v>462</v>
      </c>
      <c r="K47" s="99">
        <f t="shared" si="3"/>
        <v>110</v>
      </c>
      <c r="L47" s="99">
        <f t="shared" si="4"/>
        <v>572</v>
      </c>
    </row>
    <row r="48" spans="1:12">
      <c r="A48" s="1">
        <v>12</v>
      </c>
      <c r="B48" s="2" t="s">
        <v>255</v>
      </c>
      <c r="C48" s="2" t="s">
        <v>252</v>
      </c>
      <c r="D48" s="2" t="s">
        <v>253</v>
      </c>
      <c r="E48" s="2" t="s">
        <v>256</v>
      </c>
      <c r="F48" s="4">
        <v>38</v>
      </c>
      <c r="G48" s="3">
        <v>86</v>
      </c>
      <c r="H48" s="3">
        <f t="shared" si="0"/>
        <v>10</v>
      </c>
      <c r="I48" s="97">
        <f t="shared" si="1"/>
        <v>0</v>
      </c>
      <c r="J48" s="98">
        <f t="shared" si="2"/>
        <v>3268</v>
      </c>
      <c r="K48" s="99">
        <f t="shared" si="3"/>
        <v>430</v>
      </c>
      <c r="L48" s="99">
        <f t="shared" si="4"/>
        <v>3698</v>
      </c>
    </row>
    <row r="49" spans="1:12">
      <c r="A49" s="1">
        <v>31</v>
      </c>
      <c r="B49" s="2" t="s">
        <v>257</v>
      </c>
      <c r="C49" s="2" t="s">
        <v>258</v>
      </c>
      <c r="D49" s="2" t="s">
        <v>253</v>
      </c>
      <c r="E49" s="2" t="s">
        <v>259</v>
      </c>
      <c r="F49" s="4">
        <v>12.5</v>
      </c>
      <c r="G49" s="3">
        <v>0</v>
      </c>
      <c r="H49" s="3">
        <f t="shared" si="0"/>
        <v>10</v>
      </c>
      <c r="I49" s="97">
        <f t="shared" si="1"/>
        <v>30</v>
      </c>
      <c r="J49" s="98">
        <f t="shared" si="2"/>
        <v>0</v>
      </c>
      <c r="K49" s="99">
        <f t="shared" si="3"/>
        <v>0</v>
      </c>
      <c r="L49" s="99">
        <f t="shared" si="4"/>
        <v>0</v>
      </c>
    </row>
    <row r="50" spans="1:12">
      <c r="A50" s="1">
        <v>32</v>
      </c>
      <c r="B50" s="2" t="s">
        <v>260</v>
      </c>
      <c r="C50" s="2" t="s">
        <v>258</v>
      </c>
      <c r="D50" s="2" t="s">
        <v>253</v>
      </c>
      <c r="E50" s="2" t="s">
        <v>261</v>
      </c>
      <c r="F50" s="4">
        <v>32</v>
      </c>
      <c r="G50" s="3">
        <v>9</v>
      </c>
      <c r="H50" s="3">
        <f t="shared" si="0"/>
        <v>10</v>
      </c>
      <c r="I50" s="97">
        <f t="shared" si="1"/>
        <v>99.000000000000014</v>
      </c>
      <c r="J50" s="98">
        <f t="shared" si="2"/>
        <v>288</v>
      </c>
      <c r="K50" s="99">
        <f t="shared" si="3"/>
        <v>45</v>
      </c>
      <c r="L50" s="99">
        <f t="shared" si="4"/>
        <v>333</v>
      </c>
    </row>
    <row r="51" spans="1:12">
      <c r="A51" s="1">
        <v>33</v>
      </c>
      <c r="B51" s="2" t="s">
        <v>262</v>
      </c>
      <c r="C51" s="2" t="s">
        <v>263</v>
      </c>
      <c r="D51" s="2" t="s">
        <v>253</v>
      </c>
      <c r="E51" s="2" t="s">
        <v>264</v>
      </c>
      <c r="F51" s="4">
        <v>2.5</v>
      </c>
      <c r="G51" s="3">
        <v>112</v>
      </c>
      <c r="H51" s="3">
        <f t="shared" si="0"/>
        <v>10</v>
      </c>
      <c r="I51" s="97">
        <f t="shared" si="1"/>
        <v>0</v>
      </c>
      <c r="J51" s="98">
        <f t="shared" si="2"/>
        <v>280</v>
      </c>
      <c r="K51" s="99">
        <f t="shared" si="3"/>
        <v>560</v>
      </c>
      <c r="L51" s="99">
        <f t="shared" si="4"/>
        <v>840</v>
      </c>
    </row>
    <row r="52" spans="1:12">
      <c r="A52" s="1">
        <v>59</v>
      </c>
      <c r="B52" s="2" t="s">
        <v>265</v>
      </c>
      <c r="C52" s="2" t="s">
        <v>266</v>
      </c>
      <c r="D52" s="2" t="s">
        <v>253</v>
      </c>
      <c r="E52" s="2" t="s">
        <v>234</v>
      </c>
      <c r="F52" s="4">
        <v>55</v>
      </c>
      <c r="G52" s="3">
        <v>79</v>
      </c>
      <c r="H52" s="3">
        <f t="shared" si="0"/>
        <v>10</v>
      </c>
      <c r="I52" s="97">
        <f t="shared" si="1"/>
        <v>0</v>
      </c>
      <c r="J52" s="98">
        <f t="shared" si="2"/>
        <v>4345</v>
      </c>
      <c r="K52" s="99">
        <f t="shared" si="3"/>
        <v>395</v>
      </c>
      <c r="L52" s="99">
        <f t="shared" si="4"/>
        <v>4740</v>
      </c>
    </row>
    <row r="53" spans="1:12">
      <c r="A53" s="1">
        <v>60</v>
      </c>
      <c r="B53" s="2" t="s">
        <v>267</v>
      </c>
      <c r="C53" s="2" t="s">
        <v>266</v>
      </c>
      <c r="D53" s="2" t="s">
        <v>253</v>
      </c>
      <c r="E53" s="2" t="s">
        <v>268</v>
      </c>
      <c r="F53" s="4">
        <v>34</v>
      </c>
      <c r="G53" s="3">
        <v>19</v>
      </c>
      <c r="H53" s="3">
        <f t="shared" si="0"/>
        <v>10</v>
      </c>
      <c r="I53" s="97">
        <f t="shared" si="1"/>
        <v>0</v>
      </c>
      <c r="J53" s="98">
        <f t="shared" si="2"/>
        <v>646</v>
      </c>
      <c r="K53" s="99">
        <f t="shared" si="3"/>
        <v>95</v>
      </c>
      <c r="L53" s="99">
        <f t="shared" si="4"/>
        <v>741</v>
      </c>
    </row>
    <row r="54" spans="1:12">
      <c r="A54" s="1">
        <v>69</v>
      </c>
      <c r="B54" s="2" t="s">
        <v>269</v>
      </c>
      <c r="C54" s="2" t="s">
        <v>263</v>
      </c>
      <c r="D54" s="2" t="s">
        <v>253</v>
      </c>
      <c r="E54" s="2" t="s">
        <v>270</v>
      </c>
      <c r="F54" s="4">
        <v>36</v>
      </c>
      <c r="G54" s="3">
        <v>26</v>
      </c>
      <c r="H54" s="3">
        <f t="shared" si="0"/>
        <v>10</v>
      </c>
      <c r="I54" s="97">
        <f t="shared" si="1"/>
        <v>0</v>
      </c>
      <c r="J54" s="98">
        <f t="shared" si="2"/>
        <v>936</v>
      </c>
      <c r="K54" s="99">
        <f t="shared" si="3"/>
        <v>130</v>
      </c>
      <c r="L54" s="99">
        <f t="shared" si="4"/>
        <v>1066</v>
      </c>
    </row>
    <row r="55" spans="1:12">
      <c r="A55" s="1">
        <v>71</v>
      </c>
      <c r="B55" s="2" t="s">
        <v>271</v>
      </c>
      <c r="C55" s="2" t="s">
        <v>263</v>
      </c>
      <c r="D55" s="2" t="s">
        <v>253</v>
      </c>
      <c r="E55" s="2" t="s">
        <v>256</v>
      </c>
      <c r="F55" s="4">
        <v>21.5</v>
      </c>
      <c r="G55" s="3">
        <v>26</v>
      </c>
      <c r="H55" s="3">
        <f t="shared" si="0"/>
        <v>10</v>
      </c>
      <c r="I55" s="97">
        <f t="shared" si="1"/>
        <v>0</v>
      </c>
      <c r="J55" s="98">
        <f t="shared" si="2"/>
        <v>559</v>
      </c>
      <c r="K55" s="99">
        <f t="shared" si="3"/>
        <v>130</v>
      </c>
      <c r="L55" s="99">
        <f t="shared" si="4"/>
        <v>689</v>
      </c>
    </row>
    <row r="56" spans="1:12">
      <c r="A56" s="1">
        <v>72</v>
      </c>
      <c r="B56" s="2" t="s">
        <v>272</v>
      </c>
      <c r="C56" s="2" t="s">
        <v>258</v>
      </c>
      <c r="D56" s="2" t="s">
        <v>253</v>
      </c>
      <c r="E56" s="2" t="s">
        <v>261</v>
      </c>
      <c r="F56" s="4">
        <v>34.799999999999997</v>
      </c>
      <c r="G56" s="3">
        <v>14</v>
      </c>
      <c r="H56" s="3">
        <f t="shared" si="0"/>
        <v>10</v>
      </c>
      <c r="I56" s="97">
        <f t="shared" si="1"/>
        <v>0</v>
      </c>
      <c r="J56" s="98">
        <f t="shared" si="2"/>
        <v>487.19999999999993</v>
      </c>
      <c r="K56" s="99">
        <f t="shared" si="3"/>
        <v>70</v>
      </c>
      <c r="L56" s="99">
        <f t="shared" si="4"/>
        <v>557.19999999999993</v>
      </c>
    </row>
    <row r="57" spans="1:12">
      <c r="A57" s="1">
        <v>10</v>
      </c>
      <c r="B57" s="2" t="s">
        <v>273</v>
      </c>
      <c r="C57" s="2" t="s">
        <v>180</v>
      </c>
      <c r="D57" s="2" t="s">
        <v>274</v>
      </c>
      <c r="E57" s="2" t="s">
        <v>275</v>
      </c>
      <c r="F57" s="4">
        <v>31</v>
      </c>
      <c r="G57" s="3">
        <v>31</v>
      </c>
      <c r="H57" s="3">
        <f t="shared" si="0"/>
        <v>5</v>
      </c>
      <c r="I57" s="97">
        <f t="shared" si="1"/>
        <v>0</v>
      </c>
      <c r="J57" s="98">
        <f t="shared" si="2"/>
        <v>961</v>
      </c>
      <c r="K57" s="99">
        <f t="shared" si="3"/>
        <v>155</v>
      </c>
      <c r="L57" s="99">
        <f t="shared" si="4"/>
        <v>1116</v>
      </c>
    </row>
    <row r="58" spans="1:12">
      <c r="A58" s="1">
        <v>13</v>
      </c>
      <c r="B58" s="2" t="s">
        <v>276</v>
      </c>
      <c r="C58" s="2" t="s">
        <v>209</v>
      </c>
      <c r="D58" s="2" t="s">
        <v>274</v>
      </c>
      <c r="E58" s="2" t="s">
        <v>277</v>
      </c>
      <c r="F58" s="4">
        <v>6</v>
      </c>
      <c r="G58" s="3">
        <v>24</v>
      </c>
      <c r="H58" s="3">
        <f t="shared" si="0"/>
        <v>5</v>
      </c>
      <c r="I58" s="97">
        <f t="shared" si="1"/>
        <v>0</v>
      </c>
      <c r="J58" s="98">
        <f t="shared" si="2"/>
        <v>144</v>
      </c>
      <c r="K58" s="99">
        <f t="shared" si="3"/>
        <v>120</v>
      </c>
      <c r="L58" s="99">
        <f t="shared" si="4"/>
        <v>264</v>
      </c>
    </row>
    <row r="59" spans="1:12">
      <c r="A59" s="1">
        <v>18</v>
      </c>
      <c r="B59" s="2" t="s">
        <v>278</v>
      </c>
      <c r="C59" s="2" t="s">
        <v>171</v>
      </c>
      <c r="D59" s="2" t="s">
        <v>274</v>
      </c>
      <c r="E59" s="2" t="s">
        <v>279</v>
      </c>
      <c r="F59" s="4">
        <v>62.5</v>
      </c>
      <c r="G59" s="3">
        <v>42</v>
      </c>
      <c r="H59" s="3">
        <f t="shared" si="0"/>
        <v>5</v>
      </c>
      <c r="I59" s="97">
        <f t="shared" si="1"/>
        <v>0</v>
      </c>
      <c r="J59" s="98">
        <f t="shared" si="2"/>
        <v>2625</v>
      </c>
      <c r="K59" s="99">
        <f t="shared" si="3"/>
        <v>210</v>
      </c>
      <c r="L59" s="99">
        <f t="shared" si="4"/>
        <v>2835</v>
      </c>
    </row>
    <row r="60" spans="1:12">
      <c r="A60" s="1">
        <v>30</v>
      </c>
      <c r="B60" s="2" t="s">
        <v>280</v>
      </c>
      <c r="C60" s="2" t="s">
        <v>281</v>
      </c>
      <c r="D60" s="2" t="s">
        <v>274</v>
      </c>
      <c r="E60" s="2" t="s">
        <v>282</v>
      </c>
      <c r="F60" s="4">
        <v>25.89</v>
      </c>
      <c r="G60" s="3">
        <v>10</v>
      </c>
      <c r="H60" s="3">
        <f t="shared" si="0"/>
        <v>5</v>
      </c>
      <c r="I60" s="97">
        <f t="shared" si="1"/>
        <v>0</v>
      </c>
      <c r="J60" s="98">
        <f t="shared" si="2"/>
        <v>258.89999999999998</v>
      </c>
      <c r="K60" s="99">
        <f t="shared" si="3"/>
        <v>50</v>
      </c>
      <c r="L60" s="99">
        <f t="shared" si="4"/>
        <v>308.89999999999998</v>
      </c>
    </row>
    <row r="61" spans="1:12">
      <c r="A61" s="1">
        <v>36</v>
      </c>
      <c r="B61" s="2" t="s">
        <v>283</v>
      </c>
      <c r="C61" s="2" t="s">
        <v>284</v>
      </c>
      <c r="D61" s="2" t="s">
        <v>274</v>
      </c>
      <c r="E61" s="2" t="s">
        <v>285</v>
      </c>
      <c r="F61" s="4">
        <v>19</v>
      </c>
      <c r="G61" s="3">
        <v>112</v>
      </c>
      <c r="H61" s="3">
        <f t="shared" si="0"/>
        <v>5</v>
      </c>
      <c r="I61" s="97">
        <f t="shared" si="1"/>
        <v>0</v>
      </c>
      <c r="J61" s="98">
        <f t="shared" si="2"/>
        <v>2128</v>
      </c>
      <c r="K61" s="99">
        <f t="shared" si="3"/>
        <v>560</v>
      </c>
      <c r="L61" s="99">
        <f t="shared" si="4"/>
        <v>2688</v>
      </c>
    </row>
    <row r="62" spans="1:12">
      <c r="A62" s="1">
        <v>37</v>
      </c>
      <c r="B62" s="2" t="s">
        <v>286</v>
      </c>
      <c r="C62" s="2" t="s">
        <v>284</v>
      </c>
      <c r="D62" s="2" t="s">
        <v>274</v>
      </c>
      <c r="E62" s="2" t="s">
        <v>287</v>
      </c>
      <c r="F62" s="4">
        <v>26</v>
      </c>
      <c r="G62" s="3">
        <v>11</v>
      </c>
      <c r="H62" s="3">
        <f t="shared" si="0"/>
        <v>5</v>
      </c>
      <c r="I62" s="97">
        <f t="shared" si="1"/>
        <v>0</v>
      </c>
      <c r="J62" s="98">
        <f t="shared" si="2"/>
        <v>286</v>
      </c>
      <c r="K62" s="99">
        <f t="shared" si="3"/>
        <v>55</v>
      </c>
      <c r="L62" s="99">
        <f t="shared" si="4"/>
        <v>341</v>
      </c>
    </row>
    <row r="63" spans="1:12">
      <c r="A63" s="1">
        <v>40</v>
      </c>
      <c r="B63" s="2" t="s">
        <v>288</v>
      </c>
      <c r="C63" s="2" t="s">
        <v>289</v>
      </c>
      <c r="D63" s="2" t="s">
        <v>274</v>
      </c>
      <c r="E63" s="2" t="s">
        <v>290</v>
      </c>
      <c r="F63" s="4">
        <v>18.399999999999999</v>
      </c>
      <c r="G63" s="3">
        <v>123</v>
      </c>
      <c r="H63" s="3">
        <f t="shared" si="0"/>
        <v>5</v>
      </c>
      <c r="I63" s="97">
        <f t="shared" si="1"/>
        <v>0</v>
      </c>
      <c r="J63" s="98">
        <f t="shared" si="2"/>
        <v>2263.1999999999998</v>
      </c>
      <c r="K63" s="99">
        <f t="shared" si="3"/>
        <v>615</v>
      </c>
      <c r="L63" s="99">
        <f t="shared" si="4"/>
        <v>2878.2</v>
      </c>
    </row>
    <row r="64" spans="1:12">
      <c r="A64" s="1">
        <v>41</v>
      </c>
      <c r="B64" s="2" t="s">
        <v>291</v>
      </c>
      <c r="C64" s="2" t="s">
        <v>289</v>
      </c>
      <c r="D64" s="2" t="s">
        <v>274</v>
      </c>
      <c r="E64" s="2" t="s">
        <v>292</v>
      </c>
      <c r="F64" s="4">
        <v>9.65</v>
      </c>
      <c r="G64" s="3">
        <v>85</v>
      </c>
      <c r="H64" s="3">
        <f t="shared" si="0"/>
        <v>5</v>
      </c>
      <c r="I64" s="97">
        <f t="shared" si="1"/>
        <v>0</v>
      </c>
      <c r="J64" s="98">
        <f t="shared" si="2"/>
        <v>820.25</v>
      </c>
      <c r="K64" s="99">
        <f t="shared" si="3"/>
        <v>425</v>
      </c>
      <c r="L64" s="99">
        <f t="shared" si="4"/>
        <v>1245.25</v>
      </c>
    </row>
    <row r="65" spans="1:12">
      <c r="A65" s="1">
        <v>45</v>
      </c>
      <c r="B65" s="2" t="s">
        <v>293</v>
      </c>
      <c r="C65" s="2" t="s">
        <v>294</v>
      </c>
      <c r="D65" s="2" t="s">
        <v>274</v>
      </c>
      <c r="E65" s="2" t="s">
        <v>295</v>
      </c>
      <c r="F65" s="4">
        <v>9.5</v>
      </c>
      <c r="G65" s="3">
        <v>5</v>
      </c>
      <c r="H65" s="3">
        <f t="shared" si="0"/>
        <v>5</v>
      </c>
      <c r="I65" s="97">
        <f t="shared" si="1"/>
        <v>0</v>
      </c>
      <c r="J65" s="98">
        <f t="shared" si="2"/>
        <v>47.5</v>
      </c>
      <c r="K65" s="99">
        <f t="shared" si="3"/>
        <v>25</v>
      </c>
      <c r="L65" s="99">
        <f t="shared" si="4"/>
        <v>72.5</v>
      </c>
    </row>
    <row r="66" spans="1:12">
      <c r="A66" s="1">
        <v>46</v>
      </c>
      <c r="B66" s="2" t="s">
        <v>296</v>
      </c>
      <c r="C66" s="2" t="s">
        <v>294</v>
      </c>
      <c r="D66" s="2" t="s">
        <v>274</v>
      </c>
      <c r="E66" s="2" t="s">
        <v>297</v>
      </c>
      <c r="F66" s="4">
        <v>12</v>
      </c>
      <c r="G66" s="3">
        <v>95</v>
      </c>
      <c r="H66" s="3">
        <f t="shared" si="0"/>
        <v>5</v>
      </c>
      <c r="I66" s="97">
        <f t="shared" si="1"/>
        <v>0</v>
      </c>
      <c r="J66" s="98">
        <f t="shared" si="2"/>
        <v>1140</v>
      </c>
      <c r="K66" s="99">
        <f t="shared" si="3"/>
        <v>475</v>
      </c>
      <c r="L66" s="99">
        <f t="shared" si="4"/>
        <v>1615</v>
      </c>
    </row>
    <row r="67" spans="1:12">
      <c r="A67" s="1">
        <v>58</v>
      </c>
      <c r="B67" s="2" t="s">
        <v>298</v>
      </c>
      <c r="C67" s="2" t="s">
        <v>299</v>
      </c>
      <c r="D67" s="2" t="s">
        <v>274</v>
      </c>
      <c r="E67" s="2" t="s">
        <v>300</v>
      </c>
      <c r="F67" s="4">
        <v>13.25</v>
      </c>
      <c r="G67" s="3">
        <v>62</v>
      </c>
      <c r="H67" s="3">
        <f t="shared" si="0"/>
        <v>5</v>
      </c>
      <c r="I67" s="97">
        <f t="shared" si="1"/>
        <v>0</v>
      </c>
      <c r="J67" s="98">
        <f t="shared" si="2"/>
        <v>821.5</v>
      </c>
      <c r="K67" s="99">
        <f t="shared" si="3"/>
        <v>310</v>
      </c>
      <c r="L67" s="99">
        <f t="shared" si="4"/>
        <v>1131.5</v>
      </c>
    </row>
    <row r="68" spans="1:12">
      <c r="A68" s="1">
        <v>73</v>
      </c>
      <c r="B68" s="2" t="s">
        <v>301</v>
      </c>
      <c r="C68" s="2" t="s">
        <v>284</v>
      </c>
      <c r="D68" s="2" t="s">
        <v>274</v>
      </c>
      <c r="E68" s="2" t="s">
        <v>302</v>
      </c>
      <c r="F68" s="4">
        <v>15</v>
      </c>
      <c r="G68" s="3">
        <v>101</v>
      </c>
      <c r="H68" s="3">
        <f t="shared" si="0"/>
        <v>5</v>
      </c>
      <c r="I68" s="97">
        <f t="shared" si="1"/>
        <v>0</v>
      </c>
      <c r="J68" s="98">
        <f t="shared" si="2"/>
        <v>1515</v>
      </c>
      <c r="K68" s="99">
        <f t="shared" si="3"/>
        <v>505</v>
      </c>
      <c r="L68" s="99">
        <f t="shared" si="4"/>
        <v>2020</v>
      </c>
    </row>
    <row r="69" spans="1:12">
      <c r="A69" s="1">
        <v>16</v>
      </c>
      <c r="B69" s="2" t="s">
        <v>303</v>
      </c>
      <c r="C69" s="2" t="s">
        <v>171</v>
      </c>
      <c r="D69" s="2" t="s">
        <v>304</v>
      </c>
      <c r="E69" s="2" t="s">
        <v>305</v>
      </c>
      <c r="F69" s="4">
        <v>17.45</v>
      </c>
      <c r="G69" s="3">
        <v>29</v>
      </c>
      <c r="H69" s="3">
        <f t="shared" si="0"/>
        <v>25</v>
      </c>
      <c r="I69" s="97">
        <f t="shared" si="1"/>
        <v>0</v>
      </c>
      <c r="J69" s="98">
        <f t="shared" si="2"/>
        <v>506.04999999999995</v>
      </c>
      <c r="K69" s="99">
        <f t="shared" si="3"/>
        <v>58</v>
      </c>
      <c r="L69" s="99">
        <f t="shared" si="4"/>
        <v>564.04999999999995</v>
      </c>
    </row>
    <row r="70" spans="1:12">
      <c r="A70" s="1">
        <v>19</v>
      </c>
      <c r="B70" s="2" t="s">
        <v>306</v>
      </c>
      <c r="C70" s="2" t="s">
        <v>307</v>
      </c>
      <c r="D70" s="2" t="s">
        <v>304</v>
      </c>
      <c r="E70" s="2" t="s">
        <v>308</v>
      </c>
      <c r="F70" s="4">
        <v>9.1999999999999993</v>
      </c>
      <c r="G70" s="3">
        <v>25</v>
      </c>
      <c r="H70" s="3">
        <f t="shared" ref="H70:H81" si="5">VLOOKUP(D70,$B$85:$D$93,2,0)</f>
        <v>25</v>
      </c>
      <c r="I70" s="97">
        <f t="shared" ref="I70:I81" si="6">IF(G70=0,H70*3,IF(G70&lt;H70,(G70*H70)*1.1,0))</f>
        <v>0</v>
      </c>
      <c r="J70" s="98">
        <f t="shared" ref="J70:J81" si="7">G70*F70</f>
        <v>229.99999999999997</v>
      </c>
      <c r="K70" s="99">
        <f t="shared" ref="K70:K81" si="8">VLOOKUP(D70,$B$85:$D$93,3,0)*G70</f>
        <v>50</v>
      </c>
      <c r="L70" s="99">
        <f t="shared" ref="L70:L81" si="9">J70+K70</f>
        <v>280</v>
      </c>
    </row>
    <row r="71" spans="1:12">
      <c r="A71" s="1">
        <v>20</v>
      </c>
      <c r="B71" s="2" t="s">
        <v>309</v>
      </c>
      <c r="C71" s="2" t="s">
        <v>307</v>
      </c>
      <c r="D71" s="2" t="s">
        <v>304</v>
      </c>
      <c r="E71" s="2" t="s">
        <v>310</v>
      </c>
      <c r="F71" s="4">
        <v>81</v>
      </c>
      <c r="G71" s="3">
        <v>40</v>
      </c>
      <c r="H71" s="3">
        <f t="shared" si="5"/>
        <v>25</v>
      </c>
      <c r="I71" s="97">
        <f t="shared" si="6"/>
        <v>0</v>
      </c>
      <c r="J71" s="98">
        <f t="shared" si="7"/>
        <v>3240</v>
      </c>
      <c r="K71" s="99">
        <f t="shared" si="8"/>
        <v>80</v>
      </c>
      <c r="L71" s="99">
        <f t="shared" si="9"/>
        <v>3320</v>
      </c>
    </row>
    <row r="72" spans="1:12">
      <c r="A72" s="1">
        <v>21</v>
      </c>
      <c r="B72" s="2" t="s">
        <v>311</v>
      </c>
      <c r="C72" s="2" t="s">
        <v>307</v>
      </c>
      <c r="D72" s="2" t="s">
        <v>304</v>
      </c>
      <c r="E72" s="2" t="s">
        <v>312</v>
      </c>
      <c r="F72" s="4">
        <v>10</v>
      </c>
      <c r="G72" s="3">
        <v>3</v>
      </c>
      <c r="H72" s="3">
        <f t="shared" si="5"/>
        <v>25</v>
      </c>
      <c r="I72" s="97">
        <f t="shared" si="6"/>
        <v>82.5</v>
      </c>
      <c r="J72" s="98">
        <f t="shared" si="7"/>
        <v>30</v>
      </c>
      <c r="K72" s="99">
        <f t="shared" si="8"/>
        <v>6</v>
      </c>
      <c r="L72" s="99">
        <f t="shared" si="9"/>
        <v>36</v>
      </c>
    </row>
    <row r="73" spans="1:12">
      <c r="A73" s="1">
        <v>25</v>
      </c>
      <c r="B73" s="2" t="s">
        <v>313</v>
      </c>
      <c r="C73" s="2" t="s">
        <v>314</v>
      </c>
      <c r="D73" s="2" t="s">
        <v>304</v>
      </c>
      <c r="E73" s="2" t="s">
        <v>315</v>
      </c>
      <c r="F73" s="4">
        <v>14</v>
      </c>
      <c r="G73" s="3">
        <v>76</v>
      </c>
      <c r="H73" s="3">
        <f t="shared" si="5"/>
        <v>25</v>
      </c>
      <c r="I73" s="97">
        <f t="shared" si="6"/>
        <v>0</v>
      </c>
      <c r="J73" s="98">
        <f t="shared" si="7"/>
        <v>1064</v>
      </c>
      <c r="K73" s="99">
        <f t="shared" si="8"/>
        <v>152</v>
      </c>
      <c r="L73" s="99">
        <f t="shared" si="9"/>
        <v>1216</v>
      </c>
    </row>
    <row r="74" spans="1:12">
      <c r="A74" s="1">
        <v>26</v>
      </c>
      <c r="B74" s="2" t="s">
        <v>316</v>
      </c>
      <c r="C74" s="2" t="s">
        <v>314</v>
      </c>
      <c r="D74" s="2" t="s">
        <v>304</v>
      </c>
      <c r="E74" s="2" t="s">
        <v>317</v>
      </c>
      <c r="F74" s="4">
        <v>31.23</v>
      </c>
      <c r="G74" s="3">
        <v>15</v>
      </c>
      <c r="H74" s="3">
        <f t="shared" si="5"/>
        <v>25</v>
      </c>
      <c r="I74" s="97">
        <f t="shared" si="6"/>
        <v>412.50000000000006</v>
      </c>
      <c r="J74" s="98">
        <f t="shared" si="7"/>
        <v>468.45</v>
      </c>
      <c r="K74" s="99">
        <f t="shared" si="8"/>
        <v>30</v>
      </c>
      <c r="L74" s="99">
        <f t="shared" si="9"/>
        <v>498.45</v>
      </c>
    </row>
    <row r="75" spans="1:12">
      <c r="A75" s="1">
        <v>27</v>
      </c>
      <c r="B75" s="2" t="s">
        <v>318</v>
      </c>
      <c r="C75" s="2" t="s">
        <v>314</v>
      </c>
      <c r="D75" s="2" t="s">
        <v>304</v>
      </c>
      <c r="E75" s="2" t="s">
        <v>319</v>
      </c>
      <c r="F75" s="4">
        <v>43.9</v>
      </c>
      <c r="G75" s="3">
        <v>49</v>
      </c>
      <c r="H75" s="3">
        <f t="shared" si="5"/>
        <v>25</v>
      </c>
      <c r="I75" s="97">
        <f t="shared" si="6"/>
        <v>0</v>
      </c>
      <c r="J75" s="98">
        <f t="shared" si="7"/>
        <v>2151.1</v>
      </c>
      <c r="K75" s="99">
        <f t="shared" si="8"/>
        <v>98</v>
      </c>
      <c r="L75" s="99">
        <f t="shared" si="9"/>
        <v>2249.1</v>
      </c>
    </row>
    <row r="76" spans="1:12">
      <c r="A76" s="1">
        <v>47</v>
      </c>
      <c r="B76" s="2" t="s">
        <v>320</v>
      </c>
      <c r="C76" s="2" t="s">
        <v>321</v>
      </c>
      <c r="D76" s="2" t="s">
        <v>304</v>
      </c>
      <c r="E76" s="2" t="s">
        <v>322</v>
      </c>
      <c r="F76" s="4">
        <v>9.5</v>
      </c>
      <c r="G76" s="3">
        <v>36</v>
      </c>
      <c r="H76" s="3">
        <f t="shared" si="5"/>
        <v>25</v>
      </c>
      <c r="I76" s="97">
        <f t="shared" si="6"/>
        <v>0</v>
      </c>
      <c r="J76" s="98">
        <f t="shared" si="7"/>
        <v>342</v>
      </c>
      <c r="K76" s="99">
        <f t="shared" si="8"/>
        <v>72</v>
      </c>
      <c r="L76" s="99">
        <f t="shared" si="9"/>
        <v>414</v>
      </c>
    </row>
    <row r="77" spans="1:12">
      <c r="A77" s="1">
        <v>48</v>
      </c>
      <c r="B77" s="2" t="s">
        <v>323</v>
      </c>
      <c r="C77" s="2" t="s">
        <v>321</v>
      </c>
      <c r="D77" s="2" t="s">
        <v>304</v>
      </c>
      <c r="E77" s="2" t="s">
        <v>324</v>
      </c>
      <c r="F77" s="4">
        <v>12.75</v>
      </c>
      <c r="G77" s="3">
        <v>15</v>
      </c>
      <c r="H77" s="3">
        <f t="shared" si="5"/>
        <v>25</v>
      </c>
      <c r="I77" s="97">
        <f t="shared" si="6"/>
        <v>412.50000000000006</v>
      </c>
      <c r="J77" s="98">
        <f t="shared" si="7"/>
        <v>191.25</v>
      </c>
      <c r="K77" s="99">
        <f t="shared" si="8"/>
        <v>30</v>
      </c>
      <c r="L77" s="99">
        <f t="shared" si="9"/>
        <v>221.25</v>
      </c>
    </row>
    <row r="78" spans="1:12">
      <c r="A78" s="1">
        <v>49</v>
      </c>
      <c r="B78" s="2" t="s">
        <v>325</v>
      </c>
      <c r="C78" s="2" t="s">
        <v>177</v>
      </c>
      <c r="D78" s="2" t="s">
        <v>304</v>
      </c>
      <c r="E78" s="2" t="s">
        <v>326</v>
      </c>
      <c r="F78" s="4">
        <v>20</v>
      </c>
      <c r="G78" s="3">
        <v>10</v>
      </c>
      <c r="H78" s="3">
        <f t="shared" si="5"/>
        <v>25</v>
      </c>
      <c r="I78" s="97">
        <f t="shared" si="6"/>
        <v>275</v>
      </c>
      <c r="J78" s="98">
        <f t="shared" si="7"/>
        <v>200</v>
      </c>
      <c r="K78" s="99">
        <f t="shared" si="8"/>
        <v>20</v>
      </c>
      <c r="L78" s="99">
        <f t="shared" si="9"/>
        <v>220</v>
      </c>
    </row>
    <row r="79" spans="1:12">
      <c r="A79" s="1">
        <v>50</v>
      </c>
      <c r="B79" s="2" t="s">
        <v>327</v>
      </c>
      <c r="C79" s="2" t="s">
        <v>177</v>
      </c>
      <c r="D79" s="2" t="s">
        <v>304</v>
      </c>
      <c r="E79" s="2" t="s">
        <v>328</v>
      </c>
      <c r="F79" s="4">
        <v>16.25</v>
      </c>
      <c r="G79" s="3">
        <v>65</v>
      </c>
      <c r="H79" s="3">
        <f t="shared" si="5"/>
        <v>25</v>
      </c>
      <c r="I79" s="97">
        <f t="shared" si="6"/>
        <v>0</v>
      </c>
      <c r="J79" s="98">
        <f t="shared" si="7"/>
        <v>1056.25</v>
      </c>
      <c r="K79" s="99">
        <f t="shared" si="8"/>
        <v>130</v>
      </c>
      <c r="L79" s="99">
        <f t="shared" si="9"/>
        <v>1186.25</v>
      </c>
    </row>
    <row r="80" spans="1:12">
      <c r="A80" s="1">
        <v>62</v>
      </c>
      <c r="B80" s="2" t="s">
        <v>329</v>
      </c>
      <c r="C80" s="2" t="s">
        <v>214</v>
      </c>
      <c r="D80" s="2" t="s">
        <v>304</v>
      </c>
      <c r="E80" s="2" t="s">
        <v>330</v>
      </c>
      <c r="F80" s="4">
        <v>49.3</v>
      </c>
      <c r="G80" s="3">
        <v>17</v>
      </c>
      <c r="H80" s="3">
        <f t="shared" si="5"/>
        <v>25</v>
      </c>
      <c r="I80" s="97">
        <f t="shared" si="6"/>
        <v>467.50000000000006</v>
      </c>
      <c r="J80" s="98">
        <f t="shared" si="7"/>
        <v>838.09999999999991</v>
      </c>
      <c r="K80" s="99">
        <f t="shared" si="8"/>
        <v>34</v>
      </c>
      <c r="L80" s="99">
        <f t="shared" si="9"/>
        <v>872.09999999999991</v>
      </c>
    </row>
    <row r="81" spans="1:12">
      <c r="A81" s="1">
        <v>68</v>
      </c>
      <c r="B81" s="2" t="s">
        <v>331</v>
      </c>
      <c r="C81" s="2" t="s">
        <v>307</v>
      </c>
      <c r="D81" s="2" t="s">
        <v>304</v>
      </c>
      <c r="E81" s="2" t="s">
        <v>332</v>
      </c>
      <c r="F81" s="4">
        <v>12.5</v>
      </c>
      <c r="G81" s="3">
        <v>6</v>
      </c>
      <c r="H81" s="3">
        <f t="shared" si="5"/>
        <v>25</v>
      </c>
      <c r="I81" s="97">
        <f t="shared" si="6"/>
        <v>165</v>
      </c>
      <c r="J81" s="98">
        <f t="shared" si="7"/>
        <v>75</v>
      </c>
      <c r="K81" s="99">
        <f t="shared" si="8"/>
        <v>12</v>
      </c>
      <c r="L81" s="99">
        <f t="shared" si="9"/>
        <v>87</v>
      </c>
    </row>
    <row r="84" spans="1:12" ht="12.95" thickBot="1"/>
    <row r="85" spans="1:12" ht="47.1" thickBot="1">
      <c r="B85" s="21" t="s">
        <v>122</v>
      </c>
      <c r="C85" s="21" t="s">
        <v>144</v>
      </c>
      <c r="D85" s="21" t="s">
        <v>333</v>
      </c>
    </row>
    <row r="86" spans="1:12" ht="12.95" thickBot="1">
      <c r="B86" s="123" t="s">
        <v>151</v>
      </c>
      <c r="C86" s="124">
        <v>10</v>
      </c>
      <c r="D86" s="5">
        <v>1</v>
      </c>
    </row>
    <row r="87" spans="1:12" ht="12.95" thickBot="1">
      <c r="B87" s="123" t="s">
        <v>181</v>
      </c>
      <c r="C87" s="124">
        <v>20</v>
      </c>
      <c r="D87" s="5">
        <v>5</v>
      </c>
    </row>
    <row r="88" spans="1:12" ht="12.95" thickBot="1">
      <c r="B88" s="123" t="s">
        <v>196</v>
      </c>
      <c r="C88" s="124">
        <v>15</v>
      </c>
      <c r="D88" s="5">
        <v>1</v>
      </c>
    </row>
    <row r="89" spans="1:12" ht="12.95" thickBot="1">
      <c r="B89" s="123" t="s">
        <v>225</v>
      </c>
      <c r="C89" s="124">
        <v>10</v>
      </c>
      <c r="D89" s="5">
        <v>5</v>
      </c>
    </row>
    <row r="90" spans="1:12" ht="12.95" thickBot="1">
      <c r="B90" s="123" t="s">
        <v>237</v>
      </c>
      <c r="C90" s="124">
        <v>5</v>
      </c>
      <c r="D90" s="5">
        <v>3</v>
      </c>
    </row>
    <row r="91" spans="1:12" ht="12.95" thickBot="1">
      <c r="B91" s="123" t="s">
        <v>253</v>
      </c>
      <c r="C91" s="124">
        <v>10</v>
      </c>
      <c r="D91" s="5">
        <v>5</v>
      </c>
    </row>
    <row r="92" spans="1:12" ht="12.95" thickBot="1">
      <c r="B92" s="123" t="s">
        <v>274</v>
      </c>
      <c r="C92" s="124">
        <v>5</v>
      </c>
      <c r="D92" s="5">
        <v>5</v>
      </c>
    </row>
    <row r="93" spans="1:12" ht="12.95" thickBot="1">
      <c r="B93" s="123" t="s">
        <v>304</v>
      </c>
      <c r="C93" s="124">
        <v>25</v>
      </c>
      <c r="D93" s="5">
        <v>2</v>
      </c>
    </row>
    <row r="100" spans="1:1">
      <c r="A100" s="9">
        <v>41730</v>
      </c>
    </row>
  </sheetData>
  <mergeCells count="1">
    <mergeCell ref="A1:L1"/>
  </mergeCells>
  <phoneticPr fontId="6" type="noConversion"/>
  <dataValidations count="1">
    <dataValidation type="whole" allowBlank="1" showInputMessage="1" showErrorMessage="1" error="El codigo no esta entre 1 y 80" prompt="Codigos entre 1 y 80" sqref="A5:A81" xr:uid="{7AD27A19-938D-45D9-882A-A17120023EA2}">
      <formula1>1</formula1>
      <formula2>80</formula2>
    </dataValidation>
  </dataValidations>
  <pageMargins left="0.75" right="0.75" top="1" bottom="1" header="0" footer="0"/>
  <pageSetup paperSize="9" orientation="portrait" horizontalDpi="0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45B5-4C66-45AC-8701-5F6B8E83AED6}">
  <sheetPr>
    <tabColor indexed="15"/>
  </sheetPr>
  <dimension ref="A1:L105"/>
  <sheetViews>
    <sheetView topLeftCell="A75" workbookViewId="0">
      <selection activeCell="D104" sqref="D104"/>
    </sheetView>
  </sheetViews>
  <sheetFormatPr defaultColWidth="11.42578125" defaultRowHeight="12.75"/>
  <cols>
    <col min="1" max="1" width="11.42578125" customWidth="1"/>
    <col min="2" max="2" width="35.42578125" bestFit="1" customWidth="1"/>
    <col min="3" max="3" width="40.140625" customWidth="1"/>
    <col min="4" max="4" width="15.42578125" bestFit="1" customWidth="1"/>
    <col min="5" max="5" width="18.42578125" bestFit="1" customWidth="1"/>
    <col min="6" max="6" width="9.42578125" bestFit="1" customWidth="1"/>
    <col min="7" max="7" width="13.42578125" customWidth="1"/>
    <col min="8" max="8" width="14.140625" customWidth="1"/>
    <col min="9" max="9" width="9.42578125" customWidth="1"/>
    <col min="10" max="10" width="13.85546875" customWidth="1"/>
    <col min="11" max="11" width="21" customWidth="1"/>
    <col min="12" max="12" width="12.140625" customWidth="1"/>
  </cols>
  <sheetData>
    <row r="1" spans="1:12" ht="27.75">
      <c r="A1" s="70" t="s">
        <v>137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4" spans="1:12" ht="42.75" customHeight="1">
      <c r="A4" s="20" t="s">
        <v>138</v>
      </c>
      <c r="B4" s="20" t="s">
        <v>139</v>
      </c>
      <c r="C4" s="20" t="s">
        <v>140</v>
      </c>
      <c r="D4" s="20" t="s">
        <v>122</v>
      </c>
      <c r="E4" s="20" t="s">
        <v>141</v>
      </c>
      <c r="F4" s="20" t="s">
        <v>142</v>
      </c>
      <c r="G4" s="20" t="s">
        <v>143</v>
      </c>
      <c r="H4" s="20" t="s">
        <v>144</v>
      </c>
      <c r="I4" s="20" t="s">
        <v>145</v>
      </c>
      <c r="J4" s="20" t="s">
        <v>146</v>
      </c>
      <c r="K4" s="20" t="s">
        <v>147</v>
      </c>
      <c r="L4" s="20" t="s">
        <v>148</v>
      </c>
    </row>
    <row r="5" spans="1:12">
      <c r="A5" s="1">
        <v>1</v>
      </c>
      <c r="B5" s="2" t="s">
        <v>149</v>
      </c>
      <c r="C5" s="2" t="s">
        <v>150</v>
      </c>
      <c r="D5" s="2" t="s">
        <v>151</v>
      </c>
      <c r="E5" s="2" t="s">
        <v>152</v>
      </c>
      <c r="F5" s="4">
        <v>18</v>
      </c>
      <c r="G5" s="3">
        <v>39</v>
      </c>
      <c r="H5" s="3">
        <f>VLOOKUP(D5,$B$85:$D$93,2,0)</f>
        <v>10</v>
      </c>
      <c r="I5" s="97">
        <f>IF(G5=0,H5*3,IF(G5&lt;H5,(G5*H5)*1.1,0))</f>
        <v>0</v>
      </c>
      <c r="J5" s="98">
        <f>G5*F5</f>
        <v>702</v>
      </c>
      <c r="K5" s="99">
        <f>VLOOKUP(D5,$B$85:$D$93,3,0)*G5</f>
        <v>39</v>
      </c>
      <c r="L5" s="99">
        <f>J5+K5</f>
        <v>741</v>
      </c>
    </row>
    <row r="6" spans="1:12">
      <c r="A6" s="1">
        <v>2</v>
      </c>
      <c r="B6" s="2" t="s">
        <v>153</v>
      </c>
      <c r="C6" s="2" t="s">
        <v>150</v>
      </c>
      <c r="D6" s="2" t="s">
        <v>151</v>
      </c>
      <c r="E6" s="2" t="s">
        <v>154</v>
      </c>
      <c r="F6" s="4">
        <v>19</v>
      </c>
      <c r="G6" s="3">
        <v>17</v>
      </c>
      <c r="H6" s="3">
        <f t="shared" ref="H6:H69" si="0">VLOOKUP(D6,$B$85:$D$93,2,0)</f>
        <v>10</v>
      </c>
      <c r="I6" s="97">
        <f t="shared" ref="I6:I69" si="1">IF(G6=0,H6*3,IF(G6&lt;H6,(G6*H6)*1.1,0))</f>
        <v>0</v>
      </c>
      <c r="J6" s="98">
        <f t="shared" ref="J6:J69" si="2">G6*F6</f>
        <v>323</v>
      </c>
      <c r="K6" s="99">
        <f t="shared" ref="K6:K69" si="3">VLOOKUP(D6,$B$85:$D$93,3,0)*G6</f>
        <v>17</v>
      </c>
      <c r="L6" s="99">
        <f t="shared" ref="L6:L69" si="4">J6+K6</f>
        <v>340</v>
      </c>
    </row>
    <row r="7" spans="1:12">
      <c r="A7" s="1">
        <v>24</v>
      </c>
      <c r="B7" s="2" t="s">
        <v>155</v>
      </c>
      <c r="C7" s="2" t="s">
        <v>156</v>
      </c>
      <c r="D7" s="2" t="s">
        <v>151</v>
      </c>
      <c r="E7" s="2" t="s">
        <v>157</v>
      </c>
      <c r="F7" s="4">
        <v>4.5</v>
      </c>
      <c r="G7" s="3">
        <v>50</v>
      </c>
      <c r="H7" s="3">
        <f t="shared" si="0"/>
        <v>10</v>
      </c>
      <c r="I7" s="97">
        <f t="shared" si="1"/>
        <v>0</v>
      </c>
      <c r="J7" s="98">
        <f t="shared" si="2"/>
        <v>225</v>
      </c>
      <c r="K7" s="99">
        <f t="shared" si="3"/>
        <v>50</v>
      </c>
      <c r="L7" s="99">
        <f t="shared" si="4"/>
        <v>275</v>
      </c>
    </row>
    <row r="8" spans="1:12">
      <c r="A8" s="1">
        <v>34</v>
      </c>
      <c r="B8" s="2" t="s">
        <v>158</v>
      </c>
      <c r="C8" s="2" t="s">
        <v>159</v>
      </c>
      <c r="D8" s="2" t="s">
        <v>151</v>
      </c>
      <c r="E8" s="2" t="s">
        <v>154</v>
      </c>
      <c r="F8" s="4">
        <v>14</v>
      </c>
      <c r="G8" s="3">
        <v>111</v>
      </c>
      <c r="H8" s="3">
        <f t="shared" si="0"/>
        <v>10</v>
      </c>
      <c r="I8" s="97">
        <f t="shared" si="1"/>
        <v>0</v>
      </c>
      <c r="J8" s="98">
        <f t="shared" si="2"/>
        <v>1554</v>
      </c>
      <c r="K8" s="99">
        <f t="shared" si="3"/>
        <v>111</v>
      </c>
      <c r="L8" s="99">
        <f t="shared" si="4"/>
        <v>1665</v>
      </c>
    </row>
    <row r="9" spans="1:12">
      <c r="A9" s="1">
        <v>35</v>
      </c>
      <c r="B9" s="2" t="s">
        <v>160</v>
      </c>
      <c r="C9" s="2" t="s">
        <v>159</v>
      </c>
      <c r="D9" s="2" t="s">
        <v>151</v>
      </c>
      <c r="E9" s="2" t="s">
        <v>154</v>
      </c>
      <c r="F9" s="4">
        <v>18</v>
      </c>
      <c r="G9" s="3">
        <v>20</v>
      </c>
      <c r="H9" s="3">
        <f t="shared" si="0"/>
        <v>10</v>
      </c>
      <c r="I9" s="97">
        <f t="shared" si="1"/>
        <v>0</v>
      </c>
      <c r="J9" s="98">
        <f t="shared" si="2"/>
        <v>360</v>
      </c>
      <c r="K9" s="99">
        <f t="shared" si="3"/>
        <v>20</v>
      </c>
      <c r="L9" s="99">
        <f t="shared" si="4"/>
        <v>380</v>
      </c>
    </row>
    <row r="10" spans="1:12">
      <c r="A10" s="1">
        <v>38</v>
      </c>
      <c r="B10" s="2" t="s">
        <v>161</v>
      </c>
      <c r="C10" s="2" t="s">
        <v>162</v>
      </c>
      <c r="D10" s="2" t="s">
        <v>151</v>
      </c>
      <c r="E10" s="2" t="s">
        <v>163</v>
      </c>
      <c r="F10" s="4">
        <v>263.5</v>
      </c>
      <c r="G10" s="3">
        <v>17</v>
      </c>
      <c r="H10" s="3">
        <f t="shared" si="0"/>
        <v>10</v>
      </c>
      <c r="I10" s="97">
        <f t="shared" si="1"/>
        <v>0</v>
      </c>
      <c r="J10" s="98">
        <f t="shared" si="2"/>
        <v>4479.5</v>
      </c>
      <c r="K10" s="99">
        <f t="shared" si="3"/>
        <v>17</v>
      </c>
      <c r="L10" s="99">
        <f t="shared" si="4"/>
        <v>4496.5</v>
      </c>
    </row>
    <row r="11" spans="1:12">
      <c r="A11" s="1">
        <v>39</v>
      </c>
      <c r="B11" s="2" t="s">
        <v>164</v>
      </c>
      <c r="C11" s="2" t="s">
        <v>162</v>
      </c>
      <c r="D11" s="2" t="s">
        <v>151</v>
      </c>
      <c r="E11" s="2" t="s">
        <v>165</v>
      </c>
      <c r="F11" s="4">
        <v>18</v>
      </c>
      <c r="G11" s="3">
        <v>69</v>
      </c>
      <c r="H11" s="3">
        <f t="shared" si="0"/>
        <v>10</v>
      </c>
      <c r="I11" s="97">
        <f t="shared" si="1"/>
        <v>0</v>
      </c>
      <c r="J11" s="98">
        <f t="shared" si="2"/>
        <v>1242</v>
      </c>
      <c r="K11" s="99">
        <f t="shared" si="3"/>
        <v>69</v>
      </c>
      <c r="L11" s="99">
        <f t="shared" si="4"/>
        <v>1311</v>
      </c>
    </row>
    <row r="12" spans="1:12">
      <c r="A12" s="1">
        <v>43</v>
      </c>
      <c r="B12" s="2" t="s">
        <v>166</v>
      </c>
      <c r="C12" s="2" t="s">
        <v>167</v>
      </c>
      <c r="D12" s="2" t="s">
        <v>151</v>
      </c>
      <c r="E12" s="2" t="s">
        <v>168</v>
      </c>
      <c r="F12" s="4">
        <v>46</v>
      </c>
      <c r="G12" s="3">
        <v>17</v>
      </c>
      <c r="H12" s="3">
        <f t="shared" si="0"/>
        <v>10</v>
      </c>
      <c r="I12" s="97">
        <f t="shared" si="1"/>
        <v>0</v>
      </c>
      <c r="J12" s="98">
        <f t="shared" si="2"/>
        <v>782</v>
      </c>
      <c r="K12" s="99">
        <f t="shared" si="3"/>
        <v>17</v>
      </c>
      <c r="L12" s="99">
        <f t="shared" si="4"/>
        <v>799</v>
      </c>
    </row>
    <row r="13" spans="1:12">
      <c r="A13" s="1">
        <v>67</v>
      </c>
      <c r="B13" s="2" t="s">
        <v>169</v>
      </c>
      <c r="C13" s="2" t="s">
        <v>159</v>
      </c>
      <c r="D13" s="2" t="s">
        <v>151</v>
      </c>
      <c r="E13" s="2" t="s">
        <v>154</v>
      </c>
      <c r="F13" s="4">
        <v>14</v>
      </c>
      <c r="G13" s="3">
        <v>52</v>
      </c>
      <c r="H13" s="3">
        <f t="shared" si="0"/>
        <v>10</v>
      </c>
      <c r="I13" s="97">
        <f t="shared" si="1"/>
        <v>0</v>
      </c>
      <c r="J13" s="98">
        <f t="shared" si="2"/>
        <v>728</v>
      </c>
      <c r="K13" s="99">
        <f t="shared" si="3"/>
        <v>52</v>
      </c>
      <c r="L13" s="99">
        <f t="shared" si="4"/>
        <v>780</v>
      </c>
    </row>
    <row r="14" spans="1:12">
      <c r="A14" s="1">
        <v>70</v>
      </c>
      <c r="B14" s="2" t="s">
        <v>170</v>
      </c>
      <c r="C14" s="2" t="s">
        <v>171</v>
      </c>
      <c r="D14" s="2" t="s">
        <v>151</v>
      </c>
      <c r="E14" s="2" t="s">
        <v>172</v>
      </c>
      <c r="F14" s="4">
        <v>15</v>
      </c>
      <c r="G14" s="3">
        <v>15</v>
      </c>
      <c r="H14" s="3">
        <f t="shared" si="0"/>
        <v>10</v>
      </c>
      <c r="I14" s="97">
        <f t="shared" si="1"/>
        <v>0</v>
      </c>
      <c r="J14" s="98">
        <f t="shared" si="2"/>
        <v>225</v>
      </c>
      <c r="K14" s="99">
        <f t="shared" si="3"/>
        <v>15</v>
      </c>
      <c r="L14" s="99">
        <f t="shared" si="4"/>
        <v>240</v>
      </c>
    </row>
    <row r="15" spans="1:12">
      <c r="A15" s="1">
        <v>75</v>
      </c>
      <c r="B15" s="2" t="s">
        <v>173</v>
      </c>
      <c r="C15" s="2" t="s">
        <v>174</v>
      </c>
      <c r="D15" s="2" t="s">
        <v>151</v>
      </c>
      <c r="E15" s="2" t="s">
        <v>175</v>
      </c>
      <c r="F15" s="4">
        <v>7.75</v>
      </c>
      <c r="G15" s="3">
        <v>125</v>
      </c>
      <c r="H15" s="3">
        <f t="shared" si="0"/>
        <v>10</v>
      </c>
      <c r="I15" s="97">
        <f t="shared" si="1"/>
        <v>0</v>
      </c>
      <c r="J15" s="98">
        <f t="shared" si="2"/>
        <v>968.75</v>
      </c>
      <c r="K15" s="99">
        <f t="shared" si="3"/>
        <v>125</v>
      </c>
      <c r="L15" s="99">
        <f t="shared" si="4"/>
        <v>1093.75</v>
      </c>
    </row>
    <row r="16" spans="1:12">
      <c r="A16" s="1">
        <v>76</v>
      </c>
      <c r="B16" s="2" t="s">
        <v>176</v>
      </c>
      <c r="C16" s="2" t="s">
        <v>177</v>
      </c>
      <c r="D16" s="2" t="s">
        <v>151</v>
      </c>
      <c r="E16" s="2" t="s">
        <v>178</v>
      </c>
      <c r="F16" s="4">
        <v>18</v>
      </c>
      <c r="G16" s="3">
        <v>57</v>
      </c>
      <c r="H16" s="3">
        <f t="shared" si="0"/>
        <v>10</v>
      </c>
      <c r="I16" s="97">
        <f t="shared" si="1"/>
        <v>0</v>
      </c>
      <c r="J16" s="98">
        <f t="shared" si="2"/>
        <v>1026</v>
      </c>
      <c r="K16" s="99">
        <f t="shared" si="3"/>
        <v>57</v>
      </c>
      <c r="L16" s="99">
        <f t="shared" si="4"/>
        <v>1083</v>
      </c>
    </row>
    <row r="17" spans="1:12">
      <c r="A17" s="1">
        <v>9</v>
      </c>
      <c r="B17" s="2" t="s">
        <v>179</v>
      </c>
      <c r="C17" s="2" t="s">
        <v>180</v>
      </c>
      <c r="D17" s="2" t="s">
        <v>181</v>
      </c>
      <c r="E17" s="2" t="s">
        <v>182</v>
      </c>
      <c r="F17" s="4">
        <v>97</v>
      </c>
      <c r="G17" s="3">
        <v>29</v>
      </c>
      <c r="H17" s="3">
        <f t="shared" si="0"/>
        <v>20</v>
      </c>
      <c r="I17" s="97">
        <f t="shared" si="1"/>
        <v>0</v>
      </c>
      <c r="J17" s="98">
        <f t="shared" si="2"/>
        <v>2813</v>
      </c>
      <c r="K17" s="99">
        <f t="shared" si="3"/>
        <v>145</v>
      </c>
      <c r="L17" s="99">
        <f t="shared" si="4"/>
        <v>2958</v>
      </c>
    </row>
    <row r="18" spans="1:12">
      <c r="A18" s="1">
        <v>17</v>
      </c>
      <c r="B18" s="2" t="s">
        <v>183</v>
      </c>
      <c r="C18" s="2" t="s">
        <v>171</v>
      </c>
      <c r="D18" s="2" t="s">
        <v>181</v>
      </c>
      <c r="E18" s="2" t="s">
        <v>184</v>
      </c>
      <c r="F18" s="4">
        <v>39</v>
      </c>
      <c r="G18" s="3">
        <v>0</v>
      </c>
      <c r="H18" s="3">
        <f t="shared" si="0"/>
        <v>20</v>
      </c>
      <c r="I18" s="97">
        <f t="shared" si="1"/>
        <v>60</v>
      </c>
      <c r="J18" s="98">
        <f t="shared" si="2"/>
        <v>0</v>
      </c>
      <c r="K18" s="99">
        <f t="shared" si="3"/>
        <v>0</v>
      </c>
      <c r="L18" s="99">
        <f t="shared" si="4"/>
        <v>0</v>
      </c>
    </row>
    <row r="19" spans="1:12">
      <c r="A19" s="1">
        <v>29</v>
      </c>
      <c r="B19" s="2" t="s">
        <v>185</v>
      </c>
      <c r="C19" s="2" t="s">
        <v>174</v>
      </c>
      <c r="D19" s="2" t="s">
        <v>181</v>
      </c>
      <c r="E19" s="2" t="s">
        <v>186</v>
      </c>
      <c r="F19" s="4">
        <v>123.79</v>
      </c>
      <c r="G19" s="3">
        <v>0</v>
      </c>
      <c r="H19" s="3">
        <f t="shared" si="0"/>
        <v>20</v>
      </c>
      <c r="I19" s="97">
        <f t="shared" si="1"/>
        <v>60</v>
      </c>
      <c r="J19" s="98">
        <f t="shared" si="2"/>
        <v>0</v>
      </c>
      <c r="K19" s="99">
        <f t="shared" si="3"/>
        <v>0</v>
      </c>
      <c r="L19" s="99">
        <f t="shared" si="4"/>
        <v>0</v>
      </c>
    </row>
    <row r="20" spans="1:12">
      <c r="A20" s="1">
        <v>53</v>
      </c>
      <c r="B20" s="2" t="s">
        <v>187</v>
      </c>
      <c r="C20" s="2" t="s">
        <v>188</v>
      </c>
      <c r="D20" s="2" t="s">
        <v>181</v>
      </c>
      <c r="E20" s="2" t="s">
        <v>189</v>
      </c>
      <c r="F20" s="4">
        <v>32.799999999999997</v>
      </c>
      <c r="G20" s="3">
        <v>0</v>
      </c>
      <c r="H20" s="3">
        <f t="shared" si="0"/>
        <v>20</v>
      </c>
      <c r="I20" s="97">
        <f t="shared" si="1"/>
        <v>60</v>
      </c>
      <c r="J20" s="98">
        <f t="shared" si="2"/>
        <v>0</v>
      </c>
      <c r="K20" s="99">
        <f t="shared" si="3"/>
        <v>0</v>
      </c>
      <c r="L20" s="99">
        <f t="shared" si="4"/>
        <v>0</v>
      </c>
    </row>
    <row r="21" spans="1:12">
      <c r="A21" s="1">
        <v>54</v>
      </c>
      <c r="B21" s="2" t="s">
        <v>190</v>
      </c>
      <c r="C21" s="2" t="s">
        <v>191</v>
      </c>
      <c r="D21" s="2" t="s">
        <v>181</v>
      </c>
      <c r="E21" s="2" t="s">
        <v>192</v>
      </c>
      <c r="F21" s="4">
        <v>7.45</v>
      </c>
      <c r="G21" s="3">
        <v>21</v>
      </c>
      <c r="H21" s="3">
        <f t="shared" si="0"/>
        <v>20</v>
      </c>
      <c r="I21" s="97">
        <f t="shared" si="1"/>
        <v>0</v>
      </c>
      <c r="J21" s="98">
        <f t="shared" si="2"/>
        <v>156.45000000000002</v>
      </c>
      <c r="K21" s="99">
        <f t="shared" si="3"/>
        <v>105</v>
      </c>
      <c r="L21" s="99">
        <f t="shared" si="4"/>
        <v>261.45000000000005</v>
      </c>
    </row>
    <row r="22" spans="1:12">
      <c r="A22" s="1">
        <v>55</v>
      </c>
      <c r="B22" s="2" t="s">
        <v>193</v>
      </c>
      <c r="C22" s="2" t="s">
        <v>191</v>
      </c>
      <c r="D22" s="2" t="s">
        <v>181</v>
      </c>
      <c r="E22" s="2" t="s">
        <v>194</v>
      </c>
      <c r="F22" s="4">
        <v>24</v>
      </c>
      <c r="G22" s="3">
        <v>115</v>
      </c>
      <c r="H22" s="3">
        <f t="shared" si="0"/>
        <v>20</v>
      </c>
      <c r="I22" s="97">
        <f t="shared" si="1"/>
        <v>0</v>
      </c>
      <c r="J22" s="98">
        <f t="shared" si="2"/>
        <v>2760</v>
      </c>
      <c r="K22" s="99">
        <f t="shared" si="3"/>
        <v>575</v>
      </c>
      <c r="L22" s="99">
        <f t="shared" si="4"/>
        <v>3335</v>
      </c>
    </row>
    <row r="23" spans="1:12">
      <c r="A23" s="1">
        <v>3</v>
      </c>
      <c r="B23" s="2" t="s">
        <v>195</v>
      </c>
      <c r="C23" s="2" t="s">
        <v>150</v>
      </c>
      <c r="D23" s="2" t="s">
        <v>196</v>
      </c>
      <c r="E23" s="2" t="s">
        <v>197</v>
      </c>
      <c r="F23" s="4">
        <v>10</v>
      </c>
      <c r="G23" s="3">
        <v>13</v>
      </c>
      <c r="H23" s="3">
        <f t="shared" si="0"/>
        <v>15</v>
      </c>
      <c r="I23" s="97">
        <f t="shared" si="1"/>
        <v>214.50000000000003</v>
      </c>
      <c r="J23" s="98">
        <f t="shared" si="2"/>
        <v>130</v>
      </c>
      <c r="K23" s="99">
        <f t="shared" si="3"/>
        <v>13</v>
      </c>
      <c r="L23" s="99">
        <f t="shared" si="4"/>
        <v>143</v>
      </c>
    </row>
    <row r="24" spans="1:12">
      <c r="A24" s="1">
        <v>4</v>
      </c>
      <c r="B24" s="2" t="s">
        <v>198</v>
      </c>
      <c r="C24" s="2" t="s">
        <v>199</v>
      </c>
      <c r="D24" s="2" t="s">
        <v>196</v>
      </c>
      <c r="E24" s="2" t="s">
        <v>200</v>
      </c>
      <c r="F24" s="4">
        <v>22</v>
      </c>
      <c r="G24" s="3">
        <v>53</v>
      </c>
      <c r="H24" s="3">
        <f t="shared" si="0"/>
        <v>15</v>
      </c>
      <c r="I24" s="97">
        <f t="shared" si="1"/>
        <v>0</v>
      </c>
      <c r="J24" s="98">
        <f t="shared" si="2"/>
        <v>1166</v>
      </c>
      <c r="K24" s="99">
        <f t="shared" si="3"/>
        <v>53</v>
      </c>
      <c r="L24" s="99">
        <f t="shared" si="4"/>
        <v>1219</v>
      </c>
    </row>
    <row r="25" spans="1:12">
      <c r="A25" s="1">
        <v>5</v>
      </c>
      <c r="B25" s="2" t="s">
        <v>201</v>
      </c>
      <c r="C25" s="2" t="s">
        <v>199</v>
      </c>
      <c r="D25" s="2" t="s">
        <v>196</v>
      </c>
      <c r="E25" s="2" t="s">
        <v>202</v>
      </c>
      <c r="F25" s="4">
        <v>21.35</v>
      </c>
      <c r="G25" s="3">
        <v>0</v>
      </c>
      <c r="H25" s="3">
        <f t="shared" si="0"/>
        <v>15</v>
      </c>
      <c r="I25" s="97">
        <f t="shared" si="1"/>
        <v>45</v>
      </c>
      <c r="J25" s="98">
        <f t="shared" si="2"/>
        <v>0</v>
      </c>
      <c r="K25" s="99">
        <f t="shared" si="3"/>
        <v>0</v>
      </c>
      <c r="L25" s="99">
        <f t="shared" si="4"/>
        <v>0</v>
      </c>
    </row>
    <row r="26" spans="1:12">
      <c r="A26" s="1">
        <v>6</v>
      </c>
      <c r="B26" s="2" t="s">
        <v>203</v>
      </c>
      <c r="C26" s="2" t="s">
        <v>204</v>
      </c>
      <c r="D26" s="2" t="s">
        <v>196</v>
      </c>
      <c r="E26" s="2" t="s">
        <v>205</v>
      </c>
      <c r="F26" s="4">
        <v>25</v>
      </c>
      <c r="G26" s="3">
        <v>120</v>
      </c>
      <c r="H26" s="3">
        <f t="shared" si="0"/>
        <v>15</v>
      </c>
      <c r="I26" s="97">
        <f t="shared" si="1"/>
        <v>0</v>
      </c>
      <c r="J26" s="98">
        <f t="shared" si="2"/>
        <v>3000</v>
      </c>
      <c r="K26" s="99">
        <f t="shared" si="3"/>
        <v>120</v>
      </c>
      <c r="L26" s="99">
        <f t="shared" si="4"/>
        <v>3120</v>
      </c>
    </row>
    <row r="27" spans="1:12">
      <c r="A27" s="1">
        <v>8</v>
      </c>
      <c r="B27" s="2" t="s">
        <v>206</v>
      </c>
      <c r="C27" s="2" t="s">
        <v>204</v>
      </c>
      <c r="D27" s="2" t="s">
        <v>196</v>
      </c>
      <c r="E27" s="2" t="s">
        <v>207</v>
      </c>
      <c r="F27" s="4">
        <v>40</v>
      </c>
      <c r="G27" s="3">
        <v>6</v>
      </c>
      <c r="H27" s="3">
        <f t="shared" si="0"/>
        <v>15</v>
      </c>
      <c r="I27" s="97">
        <f t="shared" si="1"/>
        <v>99.000000000000014</v>
      </c>
      <c r="J27" s="98">
        <f t="shared" si="2"/>
        <v>240</v>
      </c>
      <c r="K27" s="99">
        <f t="shared" si="3"/>
        <v>6</v>
      </c>
      <c r="L27" s="99">
        <f t="shared" si="4"/>
        <v>246</v>
      </c>
    </row>
    <row r="28" spans="1:12">
      <c r="A28" s="1">
        <v>15</v>
      </c>
      <c r="B28" s="2" t="s">
        <v>208</v>
      </c>
      <c r="C28" s="2" t="s">
        <v>209</v>
      </c>
      <c r="D28" s="2" t="s">
        <v>196</v>
      </c>
      <c r="E28" s="2" t="s">
        <v>210</v>
      </c>
      <c r="F28" s="4">
        <v>15.5</v>
      </c>
      <c r="G28" s="3">
        <v>39</v>
      </c>
      <c r="H28" s="3">
        <f t="shared" si="0"/>
        <v>15</v>
      </c>
      <c r="I28" s="97">
        <f t="shared" si="1"/>
        <v>0</v>
      </c>
      <c r="J28" s="98">
        <f t="shared" si="2"/>
        <v>604.5</v>
      </c>
      <c r="K28" s="99">
        <f t="shared" si="3"/>
        <v>39</v>
      </c>
      <c r="L28" s="99">
        <f t="shared" si="4"/>
        <v>643.5</v>
      </c>
    </row>
    <row r="29" spans="1:12">
      <c r="A29" s="1">
        <v>44</v>
      </c>
      <c r="B29" s="2" t="s">
        <v>211</v>
      </c>
      <c r="C29" s="2" t="s">
        <v>167</v>
      </c>
      <c r="D29" s="2" t="s">
        <v>196</v>
      </c>
      <c r="E29" s="2" t="s">
        <v>212</v>
      </c>
      <c r="F29" s="4">
        <v>19.45</v>
      </c>
      <c r="G29" s="3">
        <v>27</v>
      </c>
      <c r="H29" s="3">
        <f t="shared" si="0"/>
        <v>15</v>
      </c>
      <c r="I29" s="97">
        <f t="shared" si="1"/>
        <v>0</v>
      </c>
      <c r="J29" s="98">
        <f t="shared" si="2"/>
        <v>525.15</v>
      </c>
      <c r="K29" s="99">
        <f t="shared" si="3"/>
        <v>27</v>
      </c>
      <c r="L29" s="99">
        <f t="shared" si="4"/>
        <v>552.15</v>
      </c>
    </row>
    <row r="30" spans="1:12">
      <c r="A30" s="1">
        <v>61</v>
      </c>
      <c r="B30" s="2" t="s">
        <v>213</v>
      </c>
      <c r="C30" s="2" t="s">
        <v>214</v>
      </c>
      <c r="D30" s="2" t="s">
        <v>196</v>
      </c>
      <c r="E30" s="2" t="s">
        <v>215</v>
      </c>
      <c r="F30" s="4">
        <v>28.5</v>
      </c>
      <c r="G30" s="3">
        <v>113</v>
      </c>
      <c r="H30" s="3">
        <f t="shared" si="0"/>
        <v>15</v>
      </c>
      <c r="I30" s="97">
        <f t="shared" si="1"/>
        <v>0</v>
      </c>
      <c r="J30" s="98">
        <f t="shared" si="2"/>
        <v>3220.5</v>
      </c>
      <c r="K30" s="99">
        <f t="shared" si="3"/>
        <v>113</v>
      </c>
      <c r="L30" s="99">
        <f t="shared" si="4"/>
        <v>3333.5</v>
      </c>
    </row>
    <row r="31" spans="1:12">
      <c r="A31" s="1">
        <v>63</v>
      </c>
      <c r="B31" s="2" t="s">
        <v>216</v>
      </c>
      <c r="C31" s="2" t="s">
        <v>171</v>
      </c>
      <c r="D31" s="2" t="s">
        <v>196</v>
      </c>
      <c r="E31" s="2" t="s">
        <v>217</v>
      </c>
      <c r="F31" s="4">
        <v>43.9</v>
      </c>
      <c r="G31" s="3">
        <v>24</v>
      </c>
      <c r="H31" s="3">
        <f t="shared" si="0"/>
        <v>15</v>
      </c>
      <c r="I31" s="97">
        <f t="shared" si="1"/>
        <v>0</v>
      </c>
      <c r="J31" s="98">
        <f t="shared" si="2"/>
        <v>1053.5999999999999</v>
      </c>
      <c r="K31" s="99">
        <f t="shared" si="3"/>
        <v>24</v>
      </c>
      <c r="L31" s="99">
        <f t="shared" si="4"/>
        <v>1077.5999999999999</v>
      </c>
    </row>
    <row r="32" spans="1:12">
      <c r="A32" s="1">
        <v>65</v>
      </c>
      <c r="B32" s="2" t="s">
        <v>218</v>
      </c>
      <c r="C32" s="2" t="s">
        <v>199</v>
      </c>
      <c r="D32" s="2" t="s">
        <v>196</v>
      </c>
      <c r="E32" s="2" t="s">
        <v>219</v>
      </c>
      <c r="F32" s="4">
        <v>21.05</v>
      </c>
      <c r="G32" s="3">
        <v>76</v>
      </c>
      <c r="H32" s="3">
        <f t="shared" si="0"/>
        <v>15</v>
      </c>
      <c r="I32" s="97">
        <f t="shared" si="1"/>
        <v>0</v>
      </c>
      <c r="J32" s="98">
        <f t="shared" si="2"/>
        <v>1599.8</v>
      </c>
      <c r="K32" s="99">
        <f t="shared" si="3"/>
        <v>76</v>
      </c>
      <c r="L32" s="99">
        <f t="shared" si="4"/>
        <v>1675.8</v>
      </c>
    </row>
    <row r="33" spans="1:12">
      <c r="A33" s="1">
        <v>66</v>
      </c>
      <c r="B33" s="2" t="s">
        <v>220</v>
      </c>
      <c r="C33" s="2" t="s">
        <v>199</v>
      </c>
      <c r="D33" s="2" t="s">
        <v>196</v>
      </c>
      <c r="E33" s="2" t="s">
        <v>221</v>
      </c>
      <c r="F33" s="4">
        <v>17</v>
      </c>
      <c r="G33" s="3">
        <v>4</v>
      </c>
      <c r="H33" s="3">
        <f t="shared" si="0"/>
        <v>15</v>
      </c>
      <c r="I33" s="97">
        <f t="shared" si="1"/>
        <v>66</v>
      </c>
      <c r="J33" s="98">
        <f t="shared" si="2"/>
        <v>68</v>
      </c>
      <c r="K33" s="99">
        <f t="shared" si="3"/>
        <v>4</v>
      </c>
      <c r="L33" s="99">
        <f t="shared" si="4"/>
        <v>72</v>
      </c>
    </row>
    <row r="34" spans="1:12">
      <c r="A34" s="1">
        <v>77</v>
      </c>
      <c r="B34" s="2" t="s">
        <v>222</v>
      </c>
      <c r="C34" s="2" t="s">
        <v>174</v>
      </c>
      <c r="D34" s="2" t="s">
        <v>196</v>
      </c>
      <c r="E34" s="2" t="s">
        <v>223</v>
      </c>
      <c r="F34" s="4">
        <v>13</v>
      </c>
      <c r="G34" s="3">
        <v>32</v>
      </c>
      <c r="H34" s="3">
        <f t="shared" si="0"/>
        <v>15</v>
      </c>
      <c r="I34" s="97">
        <f t="shared" si="1"/>
        <v>0</v>
      </c>
      <c r="J34" s="98">
        <f t="shared" si="2"/>
        <v>416</v>
      </c>
      <c r="K34" s="99">
        <f t="shared" si="3"/>
        <v>32</v>
      </c>
      <c r="L34" s="99">
        <f t="shared" si="4"/>
        <v>448</v>
      </c>
    </row>
    <row r="35" spans="1:12">
      <c r="A35" s="1">
        <v>7</v>
      </c>
      <c r="B35" s="2" t="s">
        <v>224</v>
      </c>
      <c r="C35" s="2" t="s">
        <v>204</v>
      </c>
      <c r="D35" s="2" t="s">
        <v>225</v>
      </c>
      <c r="E35" s="2" t="s">
        <v>226</v>
      </c>
      <c r="F35" s="4">
        <v>30</v>
      </c>
      <c r="G35" s="3">
        <v>15</v>
      </c>
      <c r="H35" s="3">
        <f t="shared" si="0"/>
        <v>10</v>
      </c>
      <c r="I35" s="97">
        <f t="shared" si="1"/>
        <v>0</v>
      </c>
      <c r="J35" s="98">
        <f t="shared" si="2"/>
        <v>450</v>
      </c>
      <c r="K35" s="99">
        <f t="shared" si="3"/>
        <v>75</v>
      </c>
      <c r="L35" s="99">
        <f t="shared" si="4"/>
        <v>525</v>
      </c>
    </row>
    <row r="36" spans="1:12">
      <c r="A36" s="1">
        <v>14</v>
      </c>
      <c r="B36" s="2" t="s">
        <v>227</v>
      </c>
      <c r="C36" s="2" t="s">
        <v>209</v>
      </c>
      <c r="D36" s="2" t="s">
        <v>225</v>
      </c>
      <c r="E36" s="2" t="s">
        <v>228</v>
      </c>
      <c r="F36" s="4">
        <v>23.25</v>
      </c>
      <c r="G36" s="3">
        <v>35</v>
      </c>
      <c r="H36" s="3">
        <f t="shared" si="0"/>
        <v>10</v>
      </c>
      <c r="I36" s="97">
        <f t="shared" si="1"/>
        <v>0</v>
      </c>
      <c r="J36" s="98">
        <f t="shared" si="2"/>
        <v>813.75</v>
      </c>
      <c r="K36" s="99">
        <f t="shared" si="3"/>
        <v>175</v>
      </c>
      <c r="L36" s="99">
        <f t="shared" si="4"/>
        <v>988.75</v>
      </c>
    </row>
    <row r="37" spans="1:12">
      <c r="A37" s="1">
        <v>28</v>
      </c>
      <c r="B37" s="2" t="s">
        <v>229</v>
      </c>
      <c r="C37" s="2" t="s">
        <v>174</v>
      </c>
      <c r="D37" s="2" t="s">
        <v>225</v>
      </c>
      <c r="E37" s="2" t="s">
        <v>230</v>
      </c>
      <c r="F37" s="4">
        <v>45.6</v>
      </c>
      <c r="G37" s="3">
        <v>26</v>
      </c>
      <c r="H37" s="3">
        <f t="shared" si="0"/>
        <v>10</v>
      </c>
      <c r="I37" s="97">
        <f t="shared" si="1"/>
        <v>0</v>
      </c>
      <c r="J37" s="98">
        <f t="shared" si="2"/>
        <v>1185.6000000000001</v>
      </c>
      <c r="K37" s="99">
        <f t="shared" si="3"/>
        <v>130</v>
      </c>
      <c r="L37" s="99">
        <f t="shared" si="4"/>
        <v>1315.6000000000001</v>
      </c>
    </row>
    <row r="38" spans="1:12">
      <c r="A38" s="1">
        <v>51</v>
      </c>
      <c r="B38" s="2" t="s">
        <v>231</v>
      </c>
      <c r="C38" s="2" t="s">
        <v>188</v>
      </c>
      <c r="D38" s="2" t="s">
        <v>225</v>
      </c>
      <c r="E38" s="2" t="s">
        <v>232</v>
      </c>
      <c r="F38" s="4">
        <v>53</v>
      </c>
      <c r="G38" s="3">
        <v>20</v>
      </c>
      <c r="H38" s="3">
        <f t="shared" si="0"/>
        <v>10</v>
      </c>
      <c r="I38" s="97">
        <f t="shared" si="1"/>
        <v>0</v>
      </c>
      <c r="J38" s="98">
        <f t="shared" si="2"/>
        <v>1060</v>
      </c>
      <c r="K38" s="99">
        <f t="shared" si="3"/>
        <v>100</v>
      </c>
      <c r="L38" s="99">
        <f t="shared" si="4"/>
        <v>1160</v>
      </c>
    </row>
    <row r="39" spans="1:12">
      <c r="A39" s="1">
        <v>74</v>
      </c>
      <c r="B39" s="2" t="s">
        <v>233</v>
      </c>
      <c r="C39" s="2" t="s">
        <v>180</v>
      </c>
      <c r="D39" s="2" t="s">
        <v>225</v>
      </c>
      <c r="E39" s="2" t="s">
        <v>234</v>
      </c>
      <c r="F39" s="4">
        <v>10</v>
      </c>
      <c r="G39" s="3">
        <v>4</v>
      </c>
      <c r="H39" s="3">
        <f t="shared" si="0"/>
        <v>10</v>
      </c>
      <c r="I39" s="97">
        <f t="shared" si="1"/>
        <v>44</v>
      </c>
      <c r="J39" s="98">
        <f t="shared" si="2"/>
        <v>40</v>
      </c>
      <c r="K39" s="99">
        <f t="shared" si="3"/>
        <v>20</v>
      </c>
      <c r="L39" s="99">
        <f t="shared" si="4"/>
        <v>60</v>
      </c>
    </row>
    <row r="40" spans="1:12">
      <c r="A40" s="1">
        <v>22</v>
      </c>
      <c r="B40" s="2" t="s">
        <v>235</v>
      </c>
      <c r="C40" s="2" t="s">
        <v>236</v>
      </c>
      <c r="D40" s="2" t="s">
        <v>237</v>
      </c>
      <c r="E40" s="2" t="s">
        <v>238</v>
      </c>
      <c r="F40" s="4">
        <v>21</v>
      </c>
      <c r="G40" s="3">
        <v>104</v>
      </c>
      <c r="H40" s="3">
        <f t="shared" si="0"/>
        <v>5</v>
      </c>
      <c r="I40" s="97">
        <f t="shared" si="1"/>
        <v>0</v>
      </c>
      <c r="J40" s="98">
        <f t="shared" si="2"/>
        <v>2184</v>
      </c>
      <c r="K40" s="99">
        <f t="shared" si="3"/>
        <v>312</v>
      </c>
      <c r="L40" s="99">
        <f t="shared" si="4"/>
        <v>2496</v>
      </c>
    </row>
    <row r="41" spans="1:12">
      <c r="A41" s="1">
        <v>23</v>
      </c>
      <c r="B41" s="2" t="s">
        <v>239</v>
      </c>
      <c r="C41" s="2" t="s">
        <v>236</v>
      </c>
      <c r="D41" s="2" t="s">
        <v>237</v>
      </c>
      <c r="E41" s="2" t="s">
        <v>240</v>
      </c>
      <c r="F41" s="4">
        <v>9</v>
      </c>
      <c r="G41" s="3">
        <v>61</v>
      </c>
      <c r="H41" s="3">
        <f t="shared" si="0"/>
        <v>5</v>
      </c>
      <c r="I41" s="97">
        <f t="shared" si="1"/>
        <v>0</v>
      </c>
      <c r="J41" s="98">
        <f t="shared" si="2"/>
        <v>549</v>
      </c>
      <c r="K41" s="99">
        <f t="shared" si="3"/>
        <v>183</v>
      </c>
      <c r="L41" s="99">
        <f t="shared" si="4"/>
        <v>732</v>
      </c>
    </row>
    <row r="42" spans="1:12">
      <c r="A42" s="1">
        <v>42</v>
      </c>
      <c r="B42" s="2" t="s">
        <v>241</v>
      </c>
      <c r="C42" s="2" t="s">
        <v>167</v>
      </c>
      <c r="D42" s="2" t="s">
        <v>237</v>
      </c>
      <c r="E42" s="2" t="s">
        <v>242</v>
      </c>
      <c r="F42" s="4">
        <v>14</v>
      </c>
      <c r="G42" s="3">
        <v>26</v>
      </c>
      <c r="H42" s="3">
        <f t="shared" si="0"/>
        <v>5</v>
      </c>
      <c r="I42" s="97">
        <f t="shared" si="1"/>
        <v>0</v>
      </c>
      <c r="J42" s="98">
        <f t="shared" si="2"/>
        <v>364</v>
      </c>
      <c r="K42" s="99">
        <f t="shared" si="3"/>
        <v>78</v>
      </c>
      <c r="L42" s="99">
        <f t="shared" si="4"/>
        <v>442</v>
      </c>
    </row>
    <row r="43" spans="1:12">
      <c r="A43" s="1">
        <v>52</v>
      </c>
      <c r="B43" s="2" t="s">
        <v>243</v>
      </c>
      <c r="C43" s="2" t="s">
        <v>188</v>
      </c>
      <c r="D43" s="2" t="s">
        <v>237</v>
      </c>
      <c r="E43" s="2" t="s">
        <v>244</v>
      </c>
      <c r="F43" s="4">
        <v>7</v>
      </c>
      <c r="G43" s="3">
        <v>38</v>
      </c>
      <c r="H43" s="3">
        <f t="shared" si="0"/>
        <v>5</v>
      </c>
      <c r="I43" s="97">
        <f t="shared" si="1"/>
        <v>0</v>
      </c>
      <c r="J43" s="98">
        <f t="shared" si="2"/>
        <v>266</v>
      </c>
      <c r="K43" s="99">
        <f t="shared" si="3"/>
        <v>114</v>
      </c>
      <c r="L43" s="99">
        <f t="shared" si="4"/>
        <v>380</v>
      </c>
    </row>
    <row r="44" spans="1:12">
      <c r="A44" s="1">
        <v>56</v>
      </c>
      <c r="B44" s="2" t="s">
        <v>245</v>
      </c>
      <c r="C44" s="2" t="s">
        <v>246</v>
      </c>
      <c r="D44" s="2" t="s">
        <v>237</v>
      </c>
      <c r="E44" s="2" t="s">
        <v>247</v>
      </c>
      <c r="F44" s="4">
        <v>38</v>
      </c>
      <c r="G44" s="3">
        <v>21</v>
      </c>
      <c r="H44" s="3">
        <f t="shared" si="0"/>
        <v>5</v>
      </c>
      <c r="I44" s="97">
        <f t="shared" si="1"/>
        <v>0</v>
      </c>
      <c r="J44" s="98">
        <f t="shared" si="2"/>
        <v>798</v>
      </c>
      <c r="K44" s="99">
        <f t="shared" si="3"/>
        <v>63</v>
      </c>
      <c r="L44" s="99">
        <f t="shared" si="4"/>
        <v>861</v>
      </c>
    </row>
    <row r="45" spans="1:12">
      <c r="A45" s="1">
        <v>57</v>
      </c>
      <c r="B45" s="2" t="s">
        <v>248</v>
      </c>
      <c r="C45" s="2" t="s">
        <v>246</v>
      </c>
      <c r="D45" s="2" t="s">
        <v>237</v>
      </c>
      <c r="E45" s="2" t="s">
        <v>247</v>
      </c>
      <c r="F45" s="4">
        <v>19.5</v>
      </c>
      <c r="G45" s="3">
        <v>36</v>
      </c>
      <c r="H45" s="3">
        <f t="shared" si="0"/>
        <v>5</v>
      </c>
      <c r="I45" s="97">
        <f t="shared" si="1"/>
        <v>0</v>
      </c>
      <c r="J45" s="98">
        <f t="shared" si="2"/>
        <v>702</v>
      </c>
      <c r="K45" s="99">
        <f t="shared" si="3"/>
        <v>108</v>
      </c>
      <c r="L45" s="99">
        <f t="shared" si="4"/>
        <v>810</v>
      </c>
    </row>
    <row r="46" spans="1:12">
      <c r="A46" s="1">
        <v>64</v>
      </c>
      <c r="B46" s="2" t="s">
        <v>249</v>
      </c>
      <c r="C46" s="2" t="s">
        <v>174</v>
      </c>
      <c r="D46" s="2" t="s">
        <v>237</v>
      </c>
      <c r="E46" s="2" t="s">
        <v>250</v>
      </c>
      <c r="F46" s="4">
        <v>33.25</v>
      </c>
      <c r="G46" s="3">
        <v>22</v>
      </c>
      <c r="H46" s="3">
        <f t="shared" si="0"/>
        <v>5</v>
      </c>
      <c r="I46" s="97">
        <f t="shared" si="1"/>
        <v>0</v>
      </c>
      <c r="J46" s="98">
        <f t="shared" si="2"/>
        <v>731.5</v>
      </c>
      <c r="K46" s="99">
        <f t="shared" si="3"/>
        <v>66</v>
      </c>
      <c r="L46" s="99">
        <f t="shared" si="4"/>
        <v>797.5</v>
      </c>
    </row>
    <row r="47" spans="1:12">
      <c r="A47" s="1">
        <v>11</v>
      </c>
      <c r="B47" s="2" t="s">
        <v>251</v>
      </c>
      <c r="C47" s="2" t="s">
        <v>252</v>
      </c>
      <c r="D47" s="2" t="s">
        <v>253</v>
      </c>
      <c r="E47" s="2" t="s">
        <v>254</v>
      </c>
      <c r="F47" s="4">
        <v>21</v>
      </c>
      <c r="G47" s="3">
        <v>22</v>
      </c>
      <c r="H47" s="3">
        <f t="shared" si="0"/>
        <v>10</v>
      </c>
      <c r="I47" s="97">
        <f t="shared" si="1"/>
        <v>0</v>
      </c>
      <c r="J47" s="98">
        <f t="shared" si="2"/>
        <v>462</v>
      </c>
      <c r="K47" s="99">
        <f t="shared" si="3"/>
        <v>110</v>
      </c>
      <c r="L47" s="99">
        <f t="shared" si="4"/>
        <v>572</v>
      </c>
    </row>
    <row r="48" spans="1:12">
      <c r="A48" s="1">
        <v>12</v>
      </c>
      <c r="B48" s="2" t="s">
        <v>255</v>
      </c>
      <c r="C48" s="2" t="s">
        <v>252</v>
      </c>
      <c r="D48" s="2" t="s">
        <v>253</v>
      </c>
      <c r="E48" s="2" t="s">
        <v>256</v>
      </c>
      <c r="F48" s="4">
        <v>38</v>
      </c>
      <c r="G48" s="3">
        <v>86</v>
      </c>
      <c r="H48" s="3">
        <f t="shared" si="0"/>
        <v>10</v>
      </c>
      <c r="I48" s="97">
        <f t="shared" si="1"/>
        <v>0</v>
      </c>
      <c r="J48" s="98">
        <f t="shared" si="2"/>
        <v>3268</v>
      </c>
      <c r="K48" s="99">
        <f t="shared" si="3"/>
        <v>430</v>
      </c>
      <c r="L48" s="99">
        <f t="shared" si="4"/>
        <v>3698</v>
      </c>
    </row>
    <row r="49" spans="1:12">
      <c r="A49" s="1">
        <v>31</v>
      </c>
      <c r="B49" s="2" t="s">
        <v>257</v>
      </c>
      <c r="C49" s="2" t="s">
        <v>258</v>
      </c>
      <c r="D49" s="2" t="s">
        <v>253</v>
      </c>
      <c r="E49" s="2" t="s">
        <v>259</v>
      </c>
      <c r="F49" s="4">
        <v>12.5</v>
      </c>
      <c r="G49" s="3">
        <v>0</v>
      </c>
      <c r="H49" s="3">
        <f t="shared" si="0"/>
        <v>10</v>
      </c>
      <c r="I49" s="97">
        <f t="shared" si="1"/>
        <v>30</v>
      </c>
      <c r="J49" s="98">
        <f t="shared" si="2"/>
        <v>0</v>
      </c>
      <c r="K49" s="99">
        <f t="shared" si="3"/>
        <v>0</v>
      </c>
      <c r="L49" s="99">
        <f t="shared" si="4"/>
        <v>0</v>
      </c>
    </row>
    <row r="50" spans="1:12">
      <c r="A50" s="1">
        <v>32</v>
      </c>
      <c r="B50" s="2" t="s">
        <v>260</v>
      </c>
      <c r="C50" s="2" t="s">
        <v>258</v>
      </c>
      <c r="D50" s="2" t="s">
        <v>253</v>
      </c>
      <c r="E50" s="2" t="s">
        <v>261</v>
      </c>
      <c r="F50" s="4">
        <v>32</v>
      </c>
      <c r="G50" s="3">
        <v>9</v>
      </c>
      <c r="H50" s="3">
        <f t="shared" si="0"/>
        <v>10</v>
      </c>
      <c r="I50" s="97">
        <f t="shared" si="1"/>
        <v>99.000000000000014</v>
      </c>
      <c r="J50" s="98">
        <f t="shared" si="2"/>
        <v>288</v>
      </c>
      <c r="K50" s="99">
        <f t="shared" si="3"/>
        <v>45</v>
      </c>
      <c r="L50" s="99">
        <f t="shared" si="4"/>
        <v>333</v>
      </c>
    </row>
    <row r="51" spans="1:12">
      <c r="A51" s="1">
        <v>33</v>
      </c>
      <c r="B51" s="2" t="s">
        <v>262</v>
      </c>
      <c r="C51" s="2" t="s">
        <v>263</v>
      </c>
      <c r="D51" s="2" t="s">
        <v>253</v>
      </c>
      <c r="E51" s="2" t="s">
        <v>264</v>
      </c>
      <c r="F51" s="4">
        <v>2.5</v>
      </c>
      <c r="G51" s="3">
        <v>112</v>
      </c>
      <c r="H51" s="3">
        <f t="shared" si="0"/>
        <v>10</v>
      </c>
      <c r="I51" s="97">
        <f t="shared" si="1"/>
        <v>0</v>
      </c>
      <c r="J51" s="98">
        <f t="shared" si="2"/>
        <v>280</v>
      </c>
      <c r="K51" s="99">
        <f t="shared" si="3"/>
        <v>560</v>
      </c>
      <c r="L51" s="99">
        <f t="shared" si="4"/>
        <v>840</v>
      </c>
    </row>
    <row r="52" spans="1:12">
      <c r="A52" s="1">
        <v>59</v>
      </c>
      <c r="B52" s="2" t="s">
        <v>265</v>
      </c>
      <c r="C52" s="2" t="s">
        <v>266</v>
      </c>
      <c r="D52" s="2" t="s">
        <v>253</v>
      </c>
      <c r="E52" s="2" t="s">
        <v>234</v>
      </c>
      <c r="F52" s="4">
        <v>55</v>
      </c>
      <c r="G52" s="3">
        <v>79</v>
      </c>
      <c r="H52" s="3">
        <f t="shared" si="0"/>
        <v>10</v>
      </c>
      <c r="I52" s="97">
        <f t="shared" si="1"/>
        <v>0</v>
      </c>
      <c r="J52" s="98">
        <f t="shared" si="2"/>
        <v>4345</v>
      </c>
      <c r="K52" s="99">
        <f t="shared" si="3"/>
        <v>395</v>
      </c>
      <c r="L52" s="99">
        <f t="shared" si="4"/>
        <v>4740</v>
      </c>
    </row>
    <row r="53" spans="1:12">
      <c r="A53" s="1">
        <v>60</v>
      </c>
      <c r="B53" s="2" t="s">
        <v>267</v>
      </c>
      <c r="C53" s="2" t="s">
        <v>266</v>
      </c>
      <c r="D53" s="2" t="s">
        <v>253</v>
      </c>
      <c r="E53" s="2" t="s">
        <v>268</v>
      </c>
      <c r="F53" s="4">
        <v>34</v>
      </c>
      <c r="G53" s="3">
        <v>19</v>
      </c>
      <c r="H53" s="3">
        <f t="shared" si="0"/>
        <v>10</v>
      </c>
      <c r="I53" s="97">
        <f t="shared" si="1"/>
        <v>0</v>
      </c>
      <c r="J53" s="98">
        <f t="shared" si="2"/>
        <v>646</v>
      </c>
      <c r="K53" s="99">
        <f t="shared" si="3"/>
        <v>95</v>
      </c>
      <c r="L53" s="99">
        <f t="shared" si="4"/>
        <v>741</v>
      </c>
    </row>
    <row r="54" spans="1:12">
      <c r="A54" s="1">
        <v>69</v>
      </c>
      <c r="B54" s="2" t="s">
        <v>269</v>
      </c>
      <c r="C54" s="2" t="s">
        <v>263</v>
      </c>
      <c r="D54" s="2" t="s">
        <v>253</v>
      </c>
      <c r="E54" s="2" t="s">
        <v>270</v>
      </c>
      <c r="F54" s="4">
        <v>36</v>
      </c>
      <c r="G54" s="3">
        <v>26</v>
      </c>
      <c r="H54" s="3">
        <f t="shared" si="0"/>
        <v>10</v>
      </c>
      <c r="I54" s="97">
        <f t="shared" si="1"/>
        <v>0</v>
      </c>
      <c r="J54" s="98">
        <f t="shared" si="2"/>
        <v>936</v>
      </c>
      <c r="K54" s="99">
        <f t="shared" si="3"/>
        <v>130</v>
      </c>
      <c r="L54" s="99">
        <f t="shared" si="4"/>
        <v>1066</v>
      </c>
    </row>
    <row r="55" spans="1:12">
      <c r="A55" s="1">
        <v>71</v>
      </c>
      <c r="B55" s="2" t="s">
        <v>271</v>
      </c>
      <c r="C55" s="2" t="s">
        <v>263</v>
      </c>
      <c r="D55" s="2" t="s">
        <v>253</v>
      </c>
      <c r="E55" s="2" t="s">
        <v>256</v>
      </c>
      <c r="F55" s="4">
        <v>21.5</v>
      </c>
      <c r="G55" s="3">
        <v>26</v>
      </c>
      <c r="H55" s="3">
        <f t="shared" si="0"/>
        <v>10</v>
      </c>
      <c r="I55" s="97">
        <f t="shared" si="1"/>
        <v>0</v>
      </c>
      <c r="J55" s="98">
        <f t="shared" si="2"/>
        <v>559</v>
      </c>
      <c r="K55" s="99">
        <f t="shared" si="3"/>
        <v>130</v>
      </c>
      <c r="L55" s="99">
        <f t="shared" si="4"/>
        <v>689</v>
      </c>
    </row>
    <row r="56" spans="1:12">
      <c r="A56" s="1">
        <v>72</v>
      </c>
      <c r="B56" s="2" t="s">
        <v>272</v>
      </c>
      <c r="C56" s="2" t="s">
        <v>258</v>
      </c>
      <c r="D56" s="2" t="s">
        <v>253</v>
      </c>
      <c r="E56" s="2" t="s">
        <v>261</v>
      </c>
      <c r="F56" s="4">
        <v>34.799999999999997</v>
      </c>
      <c r="G56" s="3">
        <v>14</v>
      </c>
      <c r="H56" s="3">
        <f t="shared" si="0"/>
        <v>10</v>
      </c>
      <c r="I56" s="97">
        <f t="shared" si="1"/>
        <v>0</v>
      </c>
      <c r="J56" s="98">
        <f t="shared" si="2"/>
        <v>487.19999999999993</v>
      </c>
      <c r="K56" s="99">
        <f t="shared" si="3"/>
        <v>70</v>
      </c>
      <c r="L56" s="99">
        <f t="shared" si="4"/>
        <v>557.19999999999993</v>
      </c>
    </row>
    <row r="57" spans="1:12">
      <c r="A57" s="1">
        <v>10</v>
      </c>
      <c r="B57" s="2" t="s">
        <v>273</v>
      </c>
      <c r="C57" s="2" t="s">
        <v>180</v>
      </c>
      <c r="D57" s="2" t="s">
        <v>274</v>
      </c>
      <c r="E57" s="2" t="s">
        <v>275</v>
      </c>
      <c r="F57" s="4">
        <v>31</v>
      </c>
      <c r="G57" s="3">
        <v>31</v>
      </c>
      <c r="H57" s="3">
        <f t="shared" si="0"/>
        <v>5</v>
      </c>
      <c r="I57" s="97">
        <f t="shared" si="1"/>
        <v>0</v>
      </c>
      <c r="J57" s="98">
        <f t="shared" si="2"/>
        <v>961</v>
      </c>
      <c r="K57" s="99">
        <f t="shared" si="3"/>
        <v>155</v>
      </c>
      <c r="L57" s="99">
        <f t="shared" si="4"/>
        <v>1116</v>
      </c>
    </row>
    <row r="58" spans="1:12">
      <c r="A58" s="1">
        <v>13</v>
      </c>
      <c r="B58" s="2" t="s">
        <v>276</v>
      </c>
      <c r="C58" s="2" t="s">
        <v>209</v>
      </c>
      <c r="D58" s="2" t="s">
        <v>274</v>
      </c>
      <c r="E58" s="2" t="s">
        <v>277</v>
      </c>
      <c r="F58" s="4">
        <v>6</v>
      </c>
      <c r="G58" s="3">
        <v>24</v>
      </c>
      <c r="H58" s="3">
        <f t="shared" si="0"/>
        <v>5</v>
      </c>
      <c r="I58" s="97">
        <f t="shared" si="1"/>
        <v>0</v>
      </c>
      <c r="J58" s="98">
        <f t="shared" si="2"/>
        <v>144</v>
      </c>
      <c r="K58" s="99">
        <f t="shared" si="3"/>
        <v>120</v>
      </c>
      <c r="L58" s="99">
        <f t="shared" si="4"/>
        <v>264</v>
      </c>
    </row>
    <row r="59" spans="1:12">
      <c r="A59" s="1">
        <v>18</v>
      </c>
      <c r="B59" s="2" t="s">
        <v>278</v>
      </c>
      <c r="C59" s="2" t="s">
        <v>171</v>
      </c>
      <c r="D59" s="2" t="s">
        <v>274</v>
      </c>
      <c r="E59" s="2" t="s">
        <v>279</v>
      </c>
      <c r="F59" s="4">
        <v>62.5</v>
      </c>
      <c r="G59" s="3">
        <v>42</v>
      </c>
      <c r="H59" s="3">
        <f t="shared" si="0"/>
        <v>5</v>
      </c>
      <c r="I59" s="97">
        <f t="shared" si="1"/>
        <v>0</v>
      </c>
      <c r="J59" s="98">
        <f t="shared" si="2"/>
        <v>2625</v>
      </c>
      <c r="K59" s="99">
        <f t="shared" si="3"/>
        <v>210</v>
      </c>
      <c r="L59" s="99">
        <f t="shared" si="4"/>
        <v>2835</v>
      </c>
    </row>
    <row r="60" spans="1:12">
      <c r="A60" s="1">
        <v>30</v>
      </c>
      <c r="B60" s="2" t="s">
        <v>280</v>
      </c>
      <c r="C60" s="2" t="s">
        <v>281</v>
      </c>
      <c r="D60" s="2" t="s">
        <v>274</v>
      </c>
      <c r="E60" s="2" t="s">
        <v>282</v>
      </c>
      <c r="F60" s="4">
        <v>25.89</v>
      </c>
      <c r="G60" s="3">
        <v>10</v>
      </c>
      <c r="H60" s="3">
        <f t="shared" si="0"/>
        <v>5</v>
      </c>
      <c r="I60" s="97">
        <f t="shared" si="1"/>
        <v>0</v>
      </c>
      <c r="J60" s="98">
        <f t="shared" si="2"/>
        <v>258.89999999999998</v>
      </c>
      <c r="K60" s="99">
        <f t="shared" si="3"/>
        <v>50</v>
      </c>
      <c r="L60" s="99">
        <f t="shared" si="4"/>
        <v>308.89999999999998</v>
      </c>
    </row>
    <row r="61" spans="1:12">
      <c r="A61" s="1">
        <v>36</v>
      </c>
      <c r="B61" s="2" t="s">
        <v>283</v>
      </c>
      <c r="C61" s="2" t="s">
        <v>284</v>
      </c>
      <c r="D61" s="2" t="s">
        <v>274</v>
      </c>
      <c r="E61" s="2" t="s">
        <v>285</v>
      </c>
      <c r="F61" s="4">
        <v>19</v>
      </c>
      <c r="G61" s="3">
        <v>112</v>
      </c>
      <c r="H61" s="3">
        <f t="shared" si="0"/>
        <v>5</v>
      </c>
      <c r="I61" s="97">
        <f t="shared" si="1"/>
        <v>0</v>
      </c>
      <c r="J61" s="98">
        <f t="shared" si="2"/>
        <v>2128</v>
      </c>
      <c r="K61" s="99">
        <f t="shared" si="3"/>
        <v>560</v>
      </c>
      <c r="L61" s="99">
        <f t="shared" si="4"/>
        <v>2688</v>
      </c>
    </row>
    <row r="62" spans="1:12">
      <c r="A62" s="1">
        <v>37</v>
      </c>
      <c r="B62" s="2" t="s">
        <v>286</v>
      </c>
      <c r="C62" s="2" t="s">
        <v>284</v>
      </c>
      <c r="D62" s="2" t="s">
        <v>274</v>
      </c>
      <c r="E62" s="2" t="s">
        <v>287</v>
      </c>
      <c r="F62" s="4">
        <v>26</v>
      </c>
      <c r="G62" s="3">
        <v>11</v>
      </c>
      <c r="H62" s="3">
        <f t="shared" si="0"/>
        <v>5</v>
      </c>
      <c r="I62" s="97">
        <f t="shared" si="1"/>
        <v>0</v>
      </c>
      <c r="J62" s="98">
        <f t="shared" si="2"/>
        <v>286</v>
      </c>
      <c r="K62" s="99">
        <f t="shared" si="3"/>
        <v>55</v>
      </c>
      <c r="L62" s="99">
        <f t="shared" si="4"/>
        <v>341</v>
      </c>
    </row>
    <row r="63" spans="1:12">
      <c r="A63" s="1">
        <v>40</v>
      </c>
      <c r="B63" s="2" t="s">
        <v>288</v>
      </c>
      <c r="C63" s="2" t="s">
        <v>289</v>
      </c>
      <c r="D63" s="2" t="s">
        <v>274</v>
      </c>
      <c r="E63" s="2" t="s">
        <v>290</v>
      </c>
      <c r="F63" s="4">
        <v>18.399999999999999</v>
      </c>
      <c r="G63" s="3">
        <v>123</v>
      </c>
      <c r="H63" s="3">
        <f t="shared" si="0"/>
        <v>5</v>
      </c>
      <c r="I63" s="97">
        <f t="shared" si="1"/>
        <v>0</v>
      </c>
      <c r="J63" s="98">
        <f t="shared" si="2"/>
        <v>2263.1999999999998</v>
      </c>
      <c r="K63" s="99">
        <f t="shared" si="3"/>
        <v>615</v>
      </c>
      <c r="L63" s="99">
        <f t="shared" si="4"/>
        <v>2878.2</v>
      </c>
    </row>
    <row r="64" spans="1:12">
      <c r="A64" s="1">
        <v>41</v>
      </c>
      <c r="B64" s="2" t="s">
        <v>291</v>
      </c>
      <c r="C64" s="2" t="s">
        <v>289</v>
      </c>
      <c r="D64" s="2" t="s">
        <v>274</v>
      </c>
      <c r="E64" s="2" t="s">
        <v>292</v>
      </c>
      <c r="F64" s="4">
        <v>9.65</v>
      </c>
      <c r="G64" s="3">
        <v>85</v>
      </c>
      <c r="H64" s="3">
        <f t="shared" si="0"/>
        <v>5</v>
      </c>
      <c r="I64" s="97">
        <f t="shared" si="1"/>
        <v>0</v>
      </c>
      <c r="J64" s="98">
        <f t="shared" si="2"/>
        <v>820.25</v>
      </c>
      <c r="K64" s="99">
        <f t="shared" si="3"/>
        <v>425</v>
      </c>
      <c r="L64" s="99">
        <f t="shared" si="4"/>
        <v>1245.25</v>
      </c>
    </row>
    <row r="65" spans="1:12">
      <c r="A65" s="1">
        <v>45</v>
      </c>
      <c r="B65" s="2" t="s">
        <v>293</v>
      </c>
      <c r="C65" s="2" t="s">
        <v>294</v>
      </c>
      <c r="D65" s="2" t="s">
        <v>274</v>
      </c>
      <c r="E65" s="2" t="s">
        <v>295</v>
      </c>
      <c r="F65" s="4">
        <v>9.5</v>
      </c>
      <c r="G65" s="3">
        <v>5</v>
      </c>
      <c r="H65" s="3">
        <f t="shared" si="0"/>
        <v>5</v>
      </c>
      <c r="I65" s="97">
        <f t="shared" si="1"/>
        <v>0</v>
      </c>
      <c r="J65" s="98">
        <f t="shared" si="2"/>
        <v>47.5</v>
      </c>
      <c r="K65" s="99">
        <f t="shared" si="3"/>
        <v>25</v>
      </c>
      <c r="L65" s="99">
        <f t="shared" si="4"/>
        <v>72.5</v>
      </c>
    </row>
    <row r="66" spans="1:12">
      <c r="A66" s="1">
        <v>46</v>
      </c>
      <c r="B66" s="2" t="s">
        <v>296</v>
      </c>
      <c r="C66" s="2" t="s">
        <v>294</v>
      </c>
      <c r="D66" s="2" t="s">
        <v>274</v>
      </c>
      <c r="E66" s="2" t="s">
        <v>297</v>
      </c>
      <c r="F66" s="4">
        <v>12</v>
      </c>
      <c r="G66" s="3">
        <v>95</v>
      </c>
      <c r="H66" s="3">
        <f t="shared" si="0"/>
        <v>5</v>
      </c>
      <c r="I66" s="97">
        <f t="shared" si="1"/>
        <v>0</v>
      </c>
      <c r="J66" s="98">
        <f t="shared" si="2"/>
        <v>1140</v>
      </c>
      <c r="K66" s="99">
        <f t="shared" si="3"/>
        <v>475</v>
      </c>
      <c r="L66" s="99">
        <f t="shared" si="4"/>
        <v>1615</v>
      </c>
    </row>
    <row r="67" spans="1:12">
      <c r="A67" s="1">
        <v>58</v>
      </c>
      <c r="B67" s="2" t="s">
        <v>298</v>
      </c>
      <c r="C67" s="2" t="s">
        <v>299</v>
      </c>
      <c r="D67" s="2" t="s">
        <v>274</v>
      </c>
      <c r="E67" s="2" t="s">
        <v>300</v>
      </c>
      <c r="F67" s="4">
        <v>13.25</v>
      </c>
      <c r="G67" s="3">
        <v>62</v>
      </c>
      <c r="H67" s="3">
        <f t="shared" si="0"/>
        <v>5</v>
      </c>
      <c r="I67" s="97">
        <f t="shared" si="1"/>
        <v>0</v>
      </c>
      <c r="J67" s="98">
        <f t="shared" si="2"/>
        <v>821.5</v>
      </c>
      <c r="K67" s="99">
        <f t="shared" si="3"/>
        <v>310</v>
      </c>
      <c r="L67" s="99">
        <f t="shared" si="4"/>
        <v>1131.5</v>
      </c>
    </row>
    <row r="68" spans="1:12">
      <c r="A68" s="1">
        <v>73</v>
      </c>
      <c r="B68" s="2" t="s">
        <v>301</v>
      </c>
      <c r="C68" s="2" t="s">
        <v>284</v>
      </c>
      <c r="D68" s="2" t="s">
        <v>274</v>
      </c>
      <c r="E68" s="2" t="s">
        <v>302</v>
      </c>
      <c r="F68" s="4">
        <v>15</v>
      </c>
      <c r="G68" s="3">
        <v>101</v>
      </c>
      <c r="H68" s="3">
        <f t="shared" si="0"/>
        <v>5</v>
      </c>
      <c r="I68" s="97">
        <f t="shared" si="1"/>
        <v>0</v>
      </c>
      <c r="J68" s="98">
        <f t="shared" si="2"/>
        <v>1515</v>
      </c>
      <c r="K68" s="99">
        <f t="shared" si="3"/>
        <v>505</v>
      </c>
      <c r="L68" s="99">
        <f t="shared" si="4"/>
        <v>2020</v>
      </c>
    </row>
    <row r="69" spans="1:12">
      <c r="A69" s="1">
        <v>16</v>
      </c>
      <c r="B69" s="2" t="s">
        <v>303</v>
      </c>
      <c r="C69" s="2" t="s">
        <v>171</v>
      </c>
      <c r="D69" s="2" t="s">
        <v>304</v>
      </c>
      <c r="E69" s="2" t="s">
        <v>305</v>
      </c>
      <c r="F69" s="4">
        <v>17.45</v>
      </c>
      <c r="G69" s="3">
        <v>29</v>
      </c>
      <c r="H69" s="3">
        <f t="shared" si="0"/>
        <v>25</v>
      </c>
      <c r="I69" s="97">
        <f t="shared" si="1"/>
        <v>0</v>
      </c>
      <c r="J69" s="98">
        <f t="shared" si="2"/>
        <v>506.04999999999995</v>
      </c>
      <c r="K69" s="99">
        <f t="shared" si="3"/>
        <v>58</v>
      </c>
      <c r="L69" s="99">
        <f t="shared" si="4"/>
        <v>564.04999999999995</v>
      </c>
    </row>
    <row r="70" spans="1:12">
      <c r="A70" s="1">
        <v>19</v>
      </c>
      <c r="B70" s="2" t="s">
        <v>306</v>
      </c>
      <c r="C70" s="2" t="s">
        <v>307</v>
      </c>
      <c r="D70" s="2" t="s">
        <v>304</v>
      </c>
      <c r="E70" s="2" t="s">
        <v>308</v>
      </c>
      <c r="F70" s="4">
        <v>9.1999999999999993</v>
      </c>
      <c r="G70" s="3">
        <v>25</v>
      </c>
      <c r="H70" s="3">
        <f t="shared" ref="H70:H81" si="5">VLOOKUP(D70,$B$85:$D$93,2,0)</f>
        <v>25</v>
      </c>
      <c r="I70" s="97">
        <f t="shared" ref="I70:I81" si="6">IF(G70=0,H70*3,IF(G70&lt;H70,(G70*H70)*1.1,0))</f>
        <v>0</v>
      </c>
      <c r="J70" s="98">
        <f t="shared" ref="J70:J81" si="7">G70*F70</f>
        <v>229.99999999999997</v>
      </c>
      <c r="K70" s="99">
        <f t="shared" ref="K70:K81" si="8">VLOOKUP(D70,$B$85:$D$93,3,0)*G70</f>
        <v>50</v>
      </c>
      <c r="L70" s="99">
        <f t="shared" ref="L70:L81" si="9">J70+K70</f>
        <v>280</v>
      </c>
    </row>
    <row r="71" spans="1:12">
      <c r="A71" s="1">
        <v>20</v>
      </c>
      <c r="B71" s="2" t="s">
        <v>309</v>
      </c>
      <c r="C71" s="2" t="s">
        <v>307</v>
      </c>
      <c r="D71" s="2" t="s">
        <v>304</v>
      </c>
      <c r="E71" s="2" t="s">
        <v>310</v>
      </c>
      <c r="F71" s="4">
        <v>81</v>
      </c>
      <c r="G71" s="3">
        <v>40</v>
      </c>
      <c r="H71" s="3">
        <f t="shared" si="5"/>
        <v>25</v>
      </c>
      <c r="I71" s="97">
        <f t="shared" si="6"/>
        <v>0</v>
      </c>
      <c r="J71" s="98">
        <f t="shared" si="7"/>
        <v>3240</v>
      </c>
      <c r="K71" s="99">
        <f t="shared" si="8"/>
        <v>80</v>
      </c>
      <c r="L71" s="99">
        <f t="shared" si="9"/>
        <v>3320</v>
      </c>
    </row>
    <row r="72" spans="1:12">
      <c r="A72" s="1">
        <v>21</v>
      </c>
      <c r="B72" s="2" t="s">
        <v>311</v>
      </c>
      <c r="C72" s="2" t="s">
        <v>307</v>
      </c>
      <c r="D72" s="2" t="s">
        <v>304</v>
      </c>
      <c r="E72" s="2" t="s">
        <v>312</v>
      </c>
      <c r="F72" s="4">
        <v>10</v>
      </c>
      <c r="G72" s="3">
        <v>3</v>
      </c>
      <c r="H72" s="3">
        <f t="shared" si="5"/>
        <v>25</v>
      </c>
      <c r="I72" s="97">
        <f t="shared" si="6"/>
        <v>82.5</v>
      </c>
      <c r="J72" s="98">
        <f t="shared" si="7"/>
        <v>30</v>
      </c>
      <c r="K72" s="99">
        <f t="shared" si="8"/>
        <v>6</v>
      </c>
      <c r="L72" s="99">
        <f t="shared" si="9"/>
        <v>36</v>
      </c>
    </row>
    <row r="73" spans="1:12">
      <c r="A73" s="1">
        <v>25</v>
      </c>
      <c r="B73" s="2" t="s">
        <v>313</v>
      </c>
      <c r="C73" s="2" t="s">
        <v>314</v>
      </c>
      <c r="D73" s="2" t="s">
        <v>304</v>
      </c>
      <c r="E73" s="2" t="s">
        <v>315</v>
      </c>
      <c r="F73" s="4">
        <v>14</v>
      </c>
      <c r="G73" s="3">
        <v>76</v>
      </c>
      <c r="H73" s="3">
        <f t="shared" si="5"/>
        <v>25</v>
      </c>
      <c r="I73" s="97">
        <f t="shared" si="6"/>
        <v>0</v>
      </c>
      <c r="J73" s="98">
        <f t="shared" si="7"/>
        <v>1064</v>
      </c>
      <c r="K73" s="99">
        <f t="shared" si="8"/>
        <v>152</v>
      </c>
      <c r="L73" s="99">
        <f t="shared" si="9"/>
        <v>1216</v>
      </c>
    </row>
    <row r="74" spans="1:12">
      <c r="A74" s="1">
        <v>26</v>
      </c>
      <c r="B74" s="2" t="s">
        <v>316</v>
      </c>
      <c r="C74" s="2" t="s">
        <v>314</v>
      </c>
      <c r="D74" s="2" t="s">
        <v>304</v>
      </c>
      <c r="E74" s="2" t="s">
        <v>317</v>
      </c>
      <c r="F74" s="4">
        <v>31.23</v>
      </c>
      <c r="G74" s="3">
        <v>15</v>
      </c>
      <c r="H74" s="3">
        <f t="shared" si="5"/>
        <v>25</v>
      </c>
      <c r="I74" s="97">
        <f t="shared" si="6"/>
        <v>412.50000000000006</v>
      </c>
      <c r="J74" s="98">
        <f t="shared" si="7"/>
        <v>468.45</v>
      </c>
      <c r="K74" s="99">
        <f t="shared" si="8"/>
        <v>30</v>
      </c>
      <c r="L74" s="99">
        <f t="shared" si="9"/>
        <v>498.45</v>
      </c>
    </row>
    <row r="75" spans="1:12">
      <c r="A75" s="1">
        <v>27</v>
      </c>
      <c r="B75" s="2" t="s">
        <v>318</v>
      </c>
      <c r="C75" s="2" t="s">
        <v>314</v>
      </c>
      <c r="D75" s="2" t="s">
        <v>304</v>
      </c>
      <c r="E75" s="2" t="s">
        <v>319</v>
      </c>
      <c r="F75" s="4">
        <v>43.9</v>
      </c>
      <c r="G75" s="3">
        <v>49</v>
      </c>
      <c r="H75" s="3">
        <f t="shared" si="5"/>
        <v>25</v>
      </c>
      <c r="I75" s="97">
        <f t="shared" si="6"/>
        <v>0</v>
      </c>
      <c r="J75" s="98">
        <f t="shared" si="7"/>
        <v>2151.1</v>
      </c>
      <c r="K75" s="99">
        <f t="shared" si="8"/>
        <v>98</v>
      </c>
      <c r="L75" s="99">
        <f t="shared" si="9"/>
        <v>2249.1</v>
      </c>
    </row>
    <row r="76" spans="1:12">
      <c r="A76" s="1">
        <v>47</v>
      </c>
      <c r="B76" s="2" t="s">
        <v>320</v>
      </c>
      <c r="C76" s="2" t="s">
        <v>321</v>
      </c>
      <c r="D76" s="2" t="s">
        <v>304</v>
      </c>
      <c r="E76" s="2" t="s">
        <v>322</v>
      </c>
      <c r="F76" s="4">
        <v>9.5</v>
      </c>
      <c r="G76" s="3">
        <v>36</v>
      </c>
      <c r="H76" s="3">
        <f t="shared" si="5"/>
        <v>25</v>
      </c>
      <c r="I76" s="97">
        <f t="shared" si="6"/>
        <v>0</v>
      </c>
      <c r="J76" s="98">
        <f t="shared" si="7"/>
        <v>342</v>
      </c>
      <c r="K76" s="99">
        <f t="shared" si="8"/>
        <v>72</v>
      </c>
      <c r="L76" s="99">
        <f t="shared" si="9"/>
        <v>414</v>
      </c>
    </row>
    <row r="77" spans="1:12">
      <c r="A77" s="1">
        <v>48</v>
      </c>
      <c r="B77" s="2" t="s">
        <v>323</v>
      </c>
      <c r="C77" s="2" t="s">
        <v>321</v>
      </c>
      <c r="D77" s="2" t="s">
        <v>304</v>
      </c>
      <c r="E77" s="2" t="s">
        <v>324</v>
      </c>
      <c r="F77" s="4">
        <v>12.75</v>
      </c>
      <c r="G77" s="3">
        <v>15</v>
      </c>
      <c r="H77" s="3">
        <f t="shared" si="5"/>
        <v>25</v>
      </c>
      <c r="I77" s="97">
        <f t="shared" si="6"/>
        <v>412.50000000000006</v>
      </c>
      <c r="J77" s="98">
        <f t="shared" si="7"/>
        <v>191.25</v>
      </c>
      <c r="K77" s="99">
        <f t="shared" si="8"/>
        <v>30</v>
      </c>
      <c r="L77" s="99">
        <f t="shared" si="9"/>
        <v>221.25</v>
      </c>
    </row>
    <row r="78" spans="1:12">
      <c r="A78" s="1">
        <v>49</v>
      </c>
      <c r="B78" s="2" t="s">
        <v>325</v>
      </c>
      <c r="C78" s="2" t="s">
        <v>177</v>
      </c>
      <c r="D78" s="2" t="s">
        <v>304</v>
      </c>
      <c r="E78" s="2" t="s">
        <v>326</v>
      </c>
      <c r="F78" s="4">
        <v>20</v>
      </c>
      <c r="G78" s="3">
        <v>10</v>
      </c>
      <c r="H78" s="3">
        <f t="shared" si="5"/>
        <v>25</v>
      </c>
      <c r="I78" s="97">
        <f t="shared" si="6"/>
        <v>275</v>
      </c>
      <c r="J78" s="98">
        <f t="shared" si="7"/>
        <v>200</v>
      </c>
      <c r="K78" s="99">
        <f t="shared" si="8"/>
        <v>20</v>
      </c>
      <c r="L78" s="99">
        <f t="shared" si="9"/>
        <v>220</v>
      </c>
    </row>
    <row r="79" spans="1:12">
      <c r="A79" s="1">
        <v>50</v>
      </c>
      <c r="B79" s="2" t="s">
        <v>327</v>
      </c>
      <c r="C79" s="2" t="s">
        <v>177</v>
      </c>
      <c r="D79" s="2" t="s">
        <v>304</v>
      </c>
      <c r="E79" s="2" t="s">
        <v>328</v>
      </c>
      <c r="F79" s="4">
        <v>16.25</v>
      </c>
      <c r="G79" s="3">
        <v>65</v>
      </c>
      <c r="H79" s="3">
        <f t="shared" si="5"/>
        <v>25</v>
      </c>
      <c r="I79" s="97">
        <f t="shared" si="6"/>
        <v>0</v>
      </c>
      <c r="J79" s="98">
        <f t="shared" si="7"/>
        <v>1056.25</v>
      </c>
      <c r="K79" s="99">
        <f t="shared" si="8"/>
        <v>130</v>
      </c>
      <c r="L79" s="99">
        <f t="shared" si="9"/>
        <v>1186.25</v>
      </c>
    </row>
    <row r="80" spans="1:12">
      <c r="A80" s="1">
        <v>62</v>
      </c>
      <c r="B80" s="2" t="s">
        <v>329</v>
      </c>
      <c r="C80" s="2" t="s">
        <v>214</v>
      </c>
      <c r="D80" s="2" t="s">
        <v>304</v>
      </c>
      <c r="E80" s="2" t="s">
        <v>330</v>
      </c>
      <c r="F80" s="4">
        <v>49.3</v>
      </c>
      <c r="G80" s="3">
        <v>17</v>
      </c>
      <c r="H80" s="3">
        <f t="shared" si="5"/>
        <v>25</v>
      </c>
      <c r="I80" s="97">
        <f t="shared" si="6"/>
        <v>467.50000000000006</v>
      </c>
      <c r="J80" s="98">
        <f t="shared" si="7"/>
        <v>838.09999999999991</v>
      </c>
      <c r="K80" s="99">
        <f t="shared" si="8"/>
        <v>34</v>
      </c>
      <c r="L80" s="99">
        <f t="shared" si="9"/>
        <v>872.09999999999991</v>
      </c>
    </row>
    <row r="81" spans="1:12">
      <c r="A81" s="1">
        <v>68</v>
      </c>
      <c r="B81" s="2" t="s">
        <v>331</v>
      </c>
      <c r="C81" s="2" t="s">
        <v>307</v>
      </c>
      <c r="D81" s="2" t="s">
        <v>304</v>
      </c>
      <c r="E81" s="2" t="s">
        <v>332</v>
      </c>
      <c r="F81" s="4">
        <v>12.5</v>
      </c>
      <c r="G81" s="3">
        <v>6</v>
      </c>
      <c r="H81" s="3">
        <f t="shared" si="5"/>
        <v>25</v>
      </c>
      <c r="I81" s="97">
        <f t="shared" si="6"/>
        <v>165</v>
      </c>
      <c r="J81" s="98">
        <f t="shared" si="7"/>
        <v>75</v>
      </c>
      <c r="K81" s="99">
        <f t="shared" si="8"/>
        <v>12</v>
      </c>
      <c r="L81" s="99">
        <f t="shared" si="9"/>
        <v>87</v>
      </c>
    </row>
    <row r="85" spans="1:12" ht="45.75">
      <c r="B85" s="21" t="s">
        <v>122</v>
      </c>
      <c r="C85" s="21" t="s">
        <v>144</v>
      </c>
      <c r="D85" s="21" t="s">
        <v>333</v>
      </c>
    </row>
    <row r="86" spans="1:12">
      <c r="B86" s="123" t="s">
        <v>151</v>
      </c>
      <c r="C86" s="124">
        <v>10</v>
      </c>
      <c r="D86" s="5">
        <v>1</v>
      </c>
    </row>
    <row r="87" spans="1:12">
      <c r="B87" s="123" t="s">
        <v>181</v>
      </c>
      <c r="C87" s="124">
        <v>20</v>
      </c>
      <c r="D87" s="5">
        <v>5</v>
      </c>
    </row>
    <row r="88" spans="1:12">
      <c r="B88" s="123" t="s">
        <v>196</v>
      </c>
      <c r="C88" s="124">
        <v>15</v>
      </c>
      <c r="D88" s="5">
        <v>1</v>
      </c>
    </row>
    <row r="89" spans="1:12">
      <c r="B89" s="123" t="s">
        <v>225</v>
      </c>
      <c r="C89" s="124">
        <v>10</v>
      </c>
      <c r="D89" s="5">
        <v>5</v>
      </c>
    </row>
    <row r="90" spans="1:12">
      <c r="B90" s="123" t="s">
        <v>237</v>
      </c>
      <c r="C90" s="124">
        <v>5</v>
      </c>
      <c r="D90" s="5">
        <v>3</v>
      </c>
    </row>
    <row r="91" spans="1:12">
      <c r="B91" s="123" t="s">
        <v>253</v>
      </c>
      <c r="C91" s="124">
        <v>10</v>
      </c>
      <c r="D91" s="5">
        <v>5</v>
      </c>
    </row>
    <row r="92" spans="1:12">
      <c r="B92" s="123" t="s">
        <v>274</v>
      </c>
      <c r="C92" s="124">
        <v>5</v>
      </c>
      <c r="D92" s="5">
        <v>5</v>
      </c>
    </row>
    <row r="93" spans="1:12">
      <c r="B93" s="123" t="s">
        <v>304</v>
      </c>
      <c r="C93" s="124">
        <v>25</v>
      </c>
      <c r="D93" s="5">
        <v>2</v>
      </c>
    </row>
    <row r="99" spans="1:4">
      <c r="B99" t="s">
        <v>334</v>
      </c>
      <c r="C99" t="s">
        <v>335</v>
      </c>
      <c r="D99" t="s">
        <v>336</v>
      </c>
    </row>
    <row r="100" spans="1:4">
      <c r="A100" s="9">
        <v>41730</v>
      </c>
      <c r="B100">
        <v>23</v>
      </c>
      <c r="C100" t="str">
        <f>DGET(A4:L81,B4,B99:B100)</f>
        <v>Pan fino</v>
      </c>
      <c r="D100" t="str">
        <f>DGET(A4:L81,D4,B99:B100)</f>
        <v>Granos/Cereales</v>
      </c>
    </row>
    <row r="101" spans="1:4">
      <c r="B101">
        <f>DCOUNT(A4:L81,G4,D99:D100)</f>
        <v>7</v>
      </c>
      <c r="C101" s="90" t="s">
        <v>337</v>
      </c>
    </row>
    <row r="102" spans="1:4">
      <c r="B102" s="100">
        <f>DSUM(A4:L81,L4,D99:D100)</f>
        <v>6518.5</v>
      </c>
      <c r="C102" s="90" t="s">
        <v>338</v>
      </c>
    </row>
    <row r="103" spans="1:4">
      <c r="B103" s="100">
        <f>DMAX(A4:L81,F4,D99:D100)</f>
        <v>38</v>
      </c>
      <c r="C103" s="90" t="s">
        <v>339</v>
      </c>
    </row>
    <row r="104" spans="1:4" ht="24">
      <c r="B104">
        <f>DMIN(A4:L81,A4,D99:D100)</f>
        <v>22</v>
      </c>
      <c r="C104" s="90" t="s">
        <v>340</v>
      </c>
    </row>
    <row r="105" spans="1:4">
      <c r="B105" s="100">
        <f>DAVERAGE(A4:L81,J4,D99:D100)</f>
        <v>799.21428571428567</v>
      </c>
      <c r="C105" s="90" t="s">
        <v>341</v>
      </c>
    </row>
  </sheetData>
  <mergeCells count="1">
    <mergeCell ref="A1:L1"/>
  </mergeCells>
  <phoneticPr fontId="6" type="noConversion"/>
  <dataValidations count="2">
    <dataValidation type="whole" allowBlank="1" showInputMessage="1" showErrorMessage="1" error="El codigo no esta entre 1 y 80" prompt="Codigos entre 1 y 80" sqref="A5:A81" xr:uid="{6856A5DC-D50F-4FB6-82D3-4D421A9C2829}">
      <formula1>1</formula1>
      <formula2>80</formula2>
    </dataValidation>
    <dataValidation type="list" allowBlank="1" showInputMessage="1" showErrorMessage="1" sqref="B100" xr:uid="{1A69060C-18FF-426F-BCA6-AA535419FD0C}">
      <formula1>$A$5:$A$81</formula1>
    </dataValidation>
  </dataValidations>
  <pageMargins left="0.75" right="0.75" top="1" bottom="1" header="0" footer="0"/>
  <pageSetup paperSize="9" orientation="portrait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7F91-0C3A-4B7B-805B-6F3CF23E691A}">
  <sheetPr>
    <tabColor indexed="15"/>
  </sheetPr>
  <dimension ref="A1:L129"/>
  <sheetViews>
    <sheetView topLeftCell="A92" workbookViewId="0">
      <selection activeCell="B99" sqref="B99:C129"/>
    </sheetView>
  </sheetViews>
  <sheetFormatPr defaultColWidth="11.42578125" defaultRowHeight="12.75"/>
  <cols>
    <col min="1" max="1" width="11.42578125" customWidth="1"/>
    <col min="2" max="2" width="35" bestFit="1" customWidth="1"/>
    <col min="3" max="3" width="18.140625" bestFit="1" customWidth="1"/>
    <col min="4" max="4" width="15.42578125" bestFit="1" customWidth="1"/>
    <col min="5" max="5" width="18.42578125" bestFit="1" customWidth="1"/>
    <col min="6" max="6" width="9.42578125" bestFit="1" customWidth="1"/>
    <col min="7" max="7" width="13.42578125" customWidth="1"/>
    <col min="8" max="8" width="14.140625" customWidth="1"/>
    <col min="9" max="9" width="9.42578125" customWidth="1"/>
    <col min="10" max="10" width="13.85546875" customWidth="1"/>
    <col min="11" max="11" width="21" customWidth="1"/>
    <col min="12" max="12" width="12.140625" customWidth="1"/>
  </cols>
  <sheetData>
    <row r="1" spans="1:12" ht="27.75">
      <c r="A1" s="70" t="s">
        <v>137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4" spans="1:12" ht="42.75" customHeight="1">
      <c r="A4" s="20" t="s">
        <v>138</v>
      </c>
      <c r="B4" s="20" t="s">
        <v>139</v>
      </c>
      <c r="C4" s="20" t="s">
        <v>140</v>
      </c>
      <c r="D4" s="20" t="s">
        <v>122</v>
      </c>
      <c r="E4" s="20" t="s">
        <v>141</v>
      </c>
      <c r="F4" s="20" t="s">
        <v>142</v>
      </c>
      <c r="G4" s="20" t="s">
        <v>143</v>
      </c>
      <c r="H4" s="20" t="s">
        <v>144</v>
      </c>
      <c r="I4" s="20" t="s">
        <v>145</v>
      </c>
      <c r="J4" s="20" t="s">
        <v>146</v>
      </c>
      <c r="K4" s="20" t="s">
        <v>147</v>
      </c>
      <c r="L4" s="20" t="s">
        <v>148</v>
      </c>
    </row>
    <row r="5" spans="1:12">
      <c r="A5" s="1">
        <v>1</v>
      </c>
      <c r="B5" s="2" t="s">
        <v>149</v>
      </c>
      <c r="C5" s="2" t="s">
        <v>150</v>
      </c>
      <c r="D5" s="2" t="s">
        <v>151</v>
      </c>
      <c r="E5" s="2" t="s">
        <v>152</v>
      </c>
      <c r="F5" s="4">
        <v>18</v>
      </c>
      <c r="G5" s="3">
        <v>39</v>
      </c>
      <c r="H5" s="3">
        <f>VLOOKUP(D5,$B$85:$D$93,2,0)</f>
        <v>10</v>
      </c>
      <c r="I5" s="97">
        <f>IF(G5=0,H5*3,IF(G5&lt;H5,(G5*H5)*1.1,0))</f>
        <v>0</v>
      </c>
      <c r="J5" s="98">
        <f>G5*F5</f>
        <v>702</v>
      </c>
      <c r="K5" s="99">
        <f>VLOOKUP(D5,$B$85:$D$93,3,0)*G5</f>
        <v>39</v>
      </c>
      <c r="L5" s="99">
        <f>J5+K5</f>
        <v>741</v>
      </c>
    </row>
    <row r="6" spans="1:12">
      <c r="A6" s="1">
        <v>2</v>
      </c>
      <c r="B6" s="2" t="s">
        <v>153</v>
      </c>
      <c r="C6" s="2" t="s">
        <v>150</v>
      </c>
      <c r="D6" s="2" t="s">
        <v>151</v>
      </c>
      <c r="E6" s="2" t="s">
        <v>154</v>
      </c>
      <c r="F6" s="4">
        <v>19</v>
      </c>
      <c r="G6" s="3">
        <v>17</v>
      </c>
      <c r="H6" s="3">
        <f t="shared" ref="H6:H69" si="0">VLOOKUP(D6,$B$85:$D$93,2,0)</f>
        <v>10</v>
      </c>
      <c r="I6" s="97">
        <f t="shared" ref="I6:I69" si="1">IF(G6=0,H6*3,IF(G6&lt;H6,(G6*H6)*1.1,0))</f>
        <v>0</v>
      </c>
      <c r="J6" s="98">
        <f t="shared" ref="J6:J69" si="2">G6*F6</f>
        <v>323</v>
      </c>
      <c r="K6" s="99">
        <f t="shared" ref="K6:K69" si="3">VLOOKUP(D6,$B$85:$D$93,3,0)*G6</f>
        <v>17</v>
      </c>
      <c r="L6" s="99">
        <f t="shared" ref="L6:L69" si="4">J6+K6</f>
        <v>340</v>
      </c>
    </row>
    <row r="7" spans="1:12">
      <c r="A7" s="1">
        <v>24</v>
      </c>
      <c r="B7" s="2" t="s">
        <v>155</v>
      </c>
      <c r="C7" s="2" t="s">
        <v>156</v>
      </c>
      <c r="D7" s="2" t="s">
        <v>151</v>
      </c>
      <c r="E7" s="2" t="s">
        <v>157</v>
      </c>
      <c r="F7" s="4">
        <v>4.5</v>
      </c>
      <c r="G7" s="3">
        <v>50</v>
      </c>
      <c r="H7" s="3">
        <f t="shared" si="0"/>
        <v>10</v>
      </c>
      <c r="I7" s="97">
        <f t="shared" si="1"/>
        <v>0</v>
      </c>
      <c r="J7" s="98">
        <f t="shared" si="2"/>
        <v>225</v>
      </c>
      <c r="K7" s="99">
        <f t="shared" si="3"/>
        <v>50</v>
      </c>
      <c r="L7" s="99">
        <f t="shared" si="4"/>
        <v>275</v>
      </c>
    </row>
    <row r="8" spans="1:12">
      <c r="A8" s="1">
        <v>34</v>
      </c>
      <c r="B8" s="2" t="s">
        <v>158</v>
      </c>
      <c r="C8" s="2" t="s">
        <v>159</v>
      </c>
      <c r="D8" s="2" t="s">
        <v>151</v>
      </c>
      <c r="E8" s="2" t="s">
        <v>154</v>
      </c>
      <c r="F8" s="4">
        <v>14</v>
      </c>
      <c r="G8" s="3">
        <v>111</v>
      </c>
      <c r="H8" s="3">
        <f t="shared" si="0"/>
        <v>10</v>
      </c>
      <c r="I8" s="97">
        <f t="shared" si="1"/>
        <v>0</v>
      </c>
      <c r="J8" s="98">
        <f t="shared" si="2"/>
        <v>1554</v>
      </c>
      <c r="K8" s="99">
        <f t="shared" si="3"/>
        <v>111</v>
      </c>
      <c r="L8" s="99">
        <f t="shared" si="4"/>
        <v>1665</v>
      </c>
    </row>
    <row r="9" spans="1:12">
      <c r="A9" s="1">
        <v>35</v>
      </c>
      <c r="B9" s="2" t="s">
        <v>160</v>
      </c>
      <c r="C9" s="2" t="s">
        <v>159</v>
      </c>
      <c r="D9" s="2" t="s">
        <v>151</v>
      </c>
      <c r="E9" s="2" t="s">
        <v>154</v>
      </c>
      <c r="F9" s="4">
        <v>18</v>
      </c>
      <c r="G9" s="3">
        <v>20</v>
      </c>
      <c r="H9" s="3">
        <f t="shared" si="0"/>
        <v>10</v>
      </c>
      <c r="I9" s="97">
        <f t="shared" si="1"/>
        <v>0</v>
      </c>
      <c r="J9" s="98">
        <f t="shared" si="2"/>
        <v>360</v>
      </c>
      <c r="K9" s="99">
        <f t="shared" si="3"/>
        <v>20</v>
      </c>
      <c r="L9" s="99">
        <f t="shared" si="4"/>
        <v>380</v>
      </c>
    </row>
    <row r="10" spans="1:12">
      <c r="A10" s="1">
        <v>38</v>
      </c>
      <c r="B10" s="2" t="s">
        <v>161</v>
      </c>
      <c r="C10" s="2" t="s">
        <v>162</v>
      </c>
      <c r="D10" s="2" t="s">
        <v>151</v>
      </c>
      <c r="E10" s="2" t="s">
        <v>163</v>
      </c>
      <c r="F10" s="4">
        <v>263.5</v>
      </c>
      <c r="G10" s="3">
        <v>17</v>
      </c>
      <c r="H10" s="3">
        <f t="shared" si="0"/>
        <v>10</v>
      </c>
      <c r="I10" s="97">
        <f t="shared" si="1"/>
        <v>0</v>
      </c>
      <c r="J10" s="98">
        <f t="shared" si="2"/>
        <v>4479.5</v>
      </c>
      <c r="K10" s="99">
        <f t="shared" si="3"/>
        <v>17</v>
      </c>
      <c r="L10" s="99">
        <f t="shared" si="4"/>
        <v>4496.5</v>
      </c>
    </row>
    <row r="11" spans="1:12">
      <c r="A11" s="1">
        <v>39</v>
      </c>
      <c r="B11" s="2" t="s">
        <v>164</v>
      </c>
      <c r="C11" s="2" t="s">
        <v>162</v>
      </c>
      <c r="D11" s="2" t="s">
        <v>151</v>
      </c>
      <c r="E11" s="2" t="s">
        <v>165</v>
      </c>
      <c r="F11" s="4">
        <v>18</v>
      </c>
      <c r="G11" s="3">
        <v>69</v>
      </c>
      <c r="H11" s="3">
        <f t="shared" si="0"/>
        <v>10</v>
      </c>
      <c r="I11" s="97">
        <f t="shared" si="1"/>
        <v>0</v>
      </c>
      <c r="J11" s="98">
        <f t="shared" si="2"/>
        <v>1242</v>
      </c>
      <c r="K11" s="99">
        <f t="shared" si="3"/>
        <v>69</v>
      </c>
      <c r="L11" s="99">
        <f t="shared" si="4"/>
        <v>1311</v>
      </c>
    </row>
    <row r="12" spans="1:12">
      <c r="A12" s="1">
        <v>43</v>
      </c>
      <c r="B12" s="2" t="s">
        <v>166</v>
      </c>
      <c r="C12" s="2" t="s">
        <v>167</v>
      </c>
      <c r="D12" s="2" t="s">
        <v>151</v>
      </c>
      <c r="E12" s="2" t="s">
        <v>168</v>
      </c>
      <c r="F12" s="4">
        <v>46</v>
      </c>
      <c r="G12" s="3">
        <v>17</v>
      </c>
      <c r="H12" s="3">
        <f t="shared" si="0"/>
        <v>10</v>
      </c>
      <c r="I12" s="97">
        <f t="shared" si="1"/>
        <v>0</v>
      </c>
      <c r="J12" s="98">
        <f t="shared" si="2"/>
        <v>782</v>
      </c>
      <c r="K12" s="99">
        <f t="shared" si="3"/>
        <v>17</v>
      </c>
      <c r="L12" s="99">
        <f t="shared" si="4"/>
        <v>799</v>
      </c>
    </row>
    <row r="13" spans="1:12">
      <c r="A13" s="1">
        <v>67</v>
      </c>
      <c r="B13" s="2" t="s">
        <v>169</v>
      </c>
      <c r="C13" s="2" t="s">
        <v>159</v>
      </c>
      <c r="D13" s="2" t="s">
        <v>151</v>
      </c>
      <c r="E13" s="2" t="s">
        <v>154</v>
      </c>
      <c r="F13" s="4">
        <v>14</v>
      </c>
      <c r="G13" s="3">
        <v>52</v>
      </c>
      <c r="H13" s="3">
        <f t="shared" si="0"/>
        <v>10</v>
      </c>
      <c r="I13" s="97">
        <f t="shared" si="1"/>
        <v>0</v>
      </c>
      <c r="J13" s="98">
        <f t="shared" si="2"/>
        <v>728</v>
      </c>
      <c r="K13" s="99">
        <f t="shared" si="3"/>
        <v>52</v>
      </c>
      <c r="L13" s="99">
        <f t="shared" si="4"/>
        <v>780</v>
      </c>
    </row>
    <row r="14" spans="1:12">
      <c r="A14" s="1">
        <v>70</v>
      </c>
      <c r="B14" s="2" t="s">
        <v>170</v>
      </c>
      <c r="C14" s="2" t="s">
        <v>171</v>
      </c>
      <c r="D14" s="2" t="s">
        <v>151</v>
      </c>
      <c r="E14" s="2" t="s">
        <v>172</v>
      </c>
      <c r="F14" s="4">
        <v>15</v>
      </c>
      <c r="G14" s="3">
        <v>15</v>
      </c>
      <c r="H14" s="3">
        <f t="shared" si="0"/>
        <v>10</v>
      </c>
      <c r="I14" s="97">
        <f t="shared" si="1"/>
        <v>0</v>
      </c>
      <c r="J14" s="98">
        <f t="shared" si="2"/>
        <v>225</v>
      </c>
      <c r="K14" s="99">
        <f t="shared" si="3"/>
        <v>15</v>
      </c>
      <c r="L14" s="99">
        <f t="shared" si="4"/>
        <v>240</v>
      </c>
    </row>
    <row r="15" spans="1:12">
      <c r="A15" s="1">
        <v>75</v>
      </c>
      <c r="B15" s="2" t="s">
        <v>173</v>
      </c>
      <c r="C15" s="2" t="s">
        <v>174</v>
      </c>
      <c r="D15" s="2" t="s">
        <v>151</v>
      </c>
      <c r="E15" s="2" t="s">
        <v>175</v>
      </c>
      <c r="F15" s="4">
        <v>7.75</v>
      </c>
      <c r="G15" s="3">
        <v>125</v>
      </c>
      <c r="H15" s="3">
        <f t="shared" si="0"/>
        <v>10</v>
      </c>
      <c r="I15" s="97">
        <f t="shared" si="1"/>
        <v>0</v>
      </c>
      <c r="J15" s="98">
        <f t="shared" si="2"/>
        <v>968.75</v>
      </c>
      <c r="K15" s="99">
        <f t="shared" si="3"/>
        <v>125</v>
      </c>
      <c r="L15" s="99">
        <f t="shared" si="4"/>
        <v>1093.75</v>
      </c>
    </row>
    <row r="16" spans="1:12">
      <c r="A16" s="1">
        <v>76</v>
      </c>
      <c r="B16" s="2" t="s">
        <v>176</v>
      </c>
      <c r="C16" s="2" t="s">
        <v>177</v>
      </c>
      <c r="D16" s="2" t="s">
        <v>151</v>
      </c>
      <c r="E16" s="2" t="s">
        <v>178</v>
      </c>
      <c r="F16" s="4">
        <v>18</v>
      </c>
      <c r="G16" s="3">
        <v>57</v>
      </c>
      <c r="H16" s="3">
        <f t="shared" si="0"/>
        <v>10</v>
      </c>
      <c r="I16" s="97">
        <f t="shared" si="1"/>
        <v>0</v>
      </c>
      <c r="J16" s="98">
        <f t="shared" si="2"/>
        <v>1026</v>
      </c>
      <c r="K16" s="99">
        <f t="shared" si="3"/>
        <v>57</v>
      </c>
      <c r="L16" s="99">
        <f t="shared" si="4"/>
        <v>1083</v>
      </c>
    </row>
    <row r="17" spans="1:12">
      <c r="A17" s="1">
        <v>9</v>
      </c>
      <c r="B17" s="2" t="s">
        <v>179</v>
      </c>
      <c r="C17" s="2" t="s">
        <v>180</v>
      </c>
      <c r="D17" s="2" t="s">
        <v>181</v>
      </c>
      <c r="E17" s="2" t="s">
        <v>182</v>
      </c>
      <c r="F17" s="4">
        <v>97</v>
      </c>
      <c r="G17" s="3">
        <v>29</v>
      </c>
      <c r="H17" s="3">
        <f t="shared" si="0"/>
        <v>20</v>
      </c>
      <c r="I17" s="97">
        <f t="shared" si="1"/>
        <v>0</v>
      </c>
      <c r="J17" s="98">
        <f t="shared" si="2"/>
        <v>2813</v>
      </c>
      <c r="K17" s="99">
        <f t="shared" si="3"/>
        <v>145</v>
      </c>
      <c r="L17" s="99">
        <f t="shared" si="4"/>
        <v>2958</v>
      </c>
    </row>
    <row r="18" spans="1:12">
      <c r="A18" s="1">
        <v>17</v>
      </c>
      <c r="B18" s="2" t="s">
        <v>183</v>
      </c>
      <c r="C18" s="2" t="s">
        <v>171</v>
      </c>
      <c r="D18" s="2" t="s">
        <v>181</v>
      </c>
      <c r="E18" s="2" t="s">
        <v>184</v>
      </c>
      <c r="F18" s="4">
        <v>39</v>
      </c>
      <c r="G18" s="3">
        <v>0</v>
      </c>
      <c r="H18" s="3">
        <f t="shared" si="0"/>
        <v>20</v>
      </c>
      <c r="I18" s="97">
        <f t="shared" si="1"/>
        <v>60</v>
      </c>
      <c r="J18" s="98">
        <f t="shared" si="2"/>
        <v>0</v>
      </c>
      <c r="K18" s="99">
        <f t="shared" si="3"/>
        <v>0</v>
      </c>
      <c r="L18" s="99">
        <f t="shared" si="4"/>
        <v>0</v>
      </c>
    </row>
    <row r="19" spans="1:12">
      <c r="A19" s="1">
        <v>29</v>
      </c>
      <c r="B19" s="2" t="s">
        <v>185</v>
      </c>
      <c r="C19" s="2" t="s">
        <v>174</v>
      </c>
      <c r="D19" s="2" t="s">
        <v>181</v>
      </c>
      <c r="E19" s="2" t="s">
        <v>186</v>
      </c>
      <c r="F19" s="4">
        <v>123.79</v>
      </c>
      <c r="G19" s="3">
        <v>0</v>
      </c>
      <c r="H19" s="3">
        <f t="shared" si="0"/>
        <v>20</v>
      </c>
      <c r="I19" s="97">
        <f t="shared" si="1"/>
        <v>60</v>
      </c>
      <c r="J19" s="98">
        <f t="shared" si="2"/>
        <v>0</v>
      </c>
      <c r="K19" s="99">
        <f t="shared" si="3"/>
        <v>0</v>
      </c>
      <c r="L19" s="99">
        <f t="shared" si="4"/>
        <v>0</v>
      </c>
    </row>
    <row r="20" spans="1:12">
      <c r="A20" s="1">
        <v>53</v>
      </c>
      <c r="B20" s="2" t="s">
        <v>187</v>
      </c>
      <c r="C20" s="2" t="s">
        <v>188</v>
      </c>
      <c r="D20" s="2" t="s">
        <v>181</v>
      </c>
      <c r="E20" s="2" t="s">
        <v>189</v>
      </c>
      <c r="F20" s="4">
        <v>32.799999999999997</v>
      </c>
      <c r="G20" s="3">
        <v>0</v>
      </c>
      <c r="H20" s="3">
        <f t="shared" si="0"/>
        <v>20</v>
      </c>
      <c r="I20" s="97">
        <f t="shared" si="1"/>
        <v>60</v>
      </c>
      <c r="J20" s="98">
        <f t="shared" si="2"/>
        <v>0</v>
      </c>
      <c r="K20" s="99">
        <f t="shared" si="3"/>
        <v>0</v>
      </c>
      <c r="L20" s="99">
        <f t="shared" si="4"/>
        <v>0</v>
      </c>
    </row>
    <row r="21" spans="1:12">
      <c r="A21" s="1">
        <v>54</v>
      </c>
      <c r="B21" s="2" t="s">
        <v>190</v>
      </c>
      <c r="C21" s="2" t="s">
        <v>191</v>
      </c>
      <c r="D21" s="2" t="s">
        <v>181</v>
      </c>
      <c r="E21" s="2" t="s">
        <v>192</v>
      </c>
      <c r="F21" s="4">
        <v>7.45</v>
      </c>
      <c r="G21" s="3">
        <v>21</v>
      </c>
      <c r="H21" s="3">
        <f t="shared" si="0"/>
        <v>20</v>
      </c>
      <c r="I21" s="97">
        <f t="shared" si="1"/>
        <v>0</v>
      </c>
      <c r="J21" s="98">
        <f t="shared" si="2"/>
        <v>156.45000000000002</v>
      </c>
      <c r="K21" s="99">
        <f t="shared" si="3"/>
        <v>105</v>
      </c>
      <c r="L21" s="99">
        <f t="shared" si="4"/>
        <v>261.45000000000005</v>
      </c>
    </row>
    <row r="22" spans="1:12">
      <c r="A22" s="1">
        <v>55</v>
      </c>
      <c r="B22" s="2" t="s">
        <v>193</v>
      </c>
      <c r="C22" s="2" t="s">
        <v>191</v>
      </c>
      <c r="D22" s="2" t="s">
        <v>181</v>
      </c>
      <c r="E22" s="2" t="s">
        <v>194</v>
      </c>
      <c r="F22" s="4">
        <v>24</v>
      </c>
      <c r="G22" s="3">
        <v>115</v>
      </c>
      <c r="H22" s="3">
        <f t="shared" si="0"/>
        <v>20</v>
      </c>
      <c r="I22" s="97">
        <f t="shared" si="1"/>
        <v>0</v>
      </c>
      <c r="J22" s="98">
        <f t="shared" si="2"/>
        <v>2760</v>
      </c>
      <c r="K22" s="99">
        <f t="shared" si="3"/>
        <v>575</v>
      </c>
      <c r="L22" s="99">
        <f t="shared" si="4"/>
        <v>3335</v>
      </c>
    </row>
    <row r="23" spans="1:12">
      <c r="A23" s="1">
        <v>3</v>
      </c>
      <c r="B23" s="2" t="s">
        <v>195</v>
      </c>
      <c r="C23" s="2" t="s">
        <v>150</v>
      </c>
      <c r="D23" s="2" t="s">
        <v>196</v>
      </c>
      <c r="E23" s="2" t="s">
        <v>197</v>
      </c>
      <c r="F23" s="4">
        <v>10</v>
      </c>
      <c r="G23" s="3">
        <v>13</v>
      </c>
      <c r="H23" s="3">
        <f t="shared" si="0"/>
        <v>15</v>
      </c>
      <c r="I23" s="97">
        <f t="shared" si="1"/>
        <v>214.50000000000003</v>
      </c>
      <c r="J23" s="98">
        <f t="shared" si="2"/>
        <v>130</v>
      </c>
      <c r="K23" s="99">
        <f t="shared" si="3"/>
        <v>13</v>
      </c>
      <c r="L23" s="99">
        <f t="shared" si="4"/>
        <v>143</v>
      </c>
    </row>
    <row r="24" spans="1:12">
      <c r="A24" s="1">
        <v>4</v>
      </c>
      <c r="B24" s="2" t="s">
        <v>198</v>
      </c>
      <c r="C24" s="2" t="s">
        <v>199</v>
      </c>
      <c r="D24" s="2" t="s">
        <v>196</v>
      </c>
      <c r="E24" s="2" t="s">
        <v>200</v>
      </c>
      <c r="F24" s="4">
        <v>22</v>
      </c>
      <c r="G24" s="3">
        <v>53</v>
      </c>
      <c r="H24" s="3">
        <f t="shared" si="0"/>
        <v>15</v>
      </c>
      <c r="I24" s="97">
        <f t="shared" si="1"/>
        <v>0</v>
      </c>
      <c r="J24" s="98">
        <f t="shared" si="2"/>
        <v>1166</v>
      </c>
      <c r="K24" s="99">
        <f t="shared" si="3"/>
        <v>53</v>
      </c>
      <c r="L24" s="99">
        <f t="shared" si="4"/>
        <v>1219</v>
      </c>
    </row>
    <row r="25" spans="1:12">
      <c r="A25" s="1">
        <v>5</v>
      </c>
      <c r="B25" s="2" t="s">
        <v>201</v>
      </c>
      <c r="C25" s="2" t="s">
        <v>199</v>
      </c>
      <c r="D25" s="2" t="s">
        <v>196</v>
      </c>
      <c r="E25" s="2" t="s">
        <v>202</v>
      </c>
      <c r="F25" s="4">
        <v>21.35</v>
      </c>
      <c r="G25" s="3">
        <v>0</v>
      </c>
      <c r="H25" s="3">
        <f t="shared" si="0"/>
        <v>15</v>
      </c>
      <c r="I25" s="97">
        <f t="shared" si="1"/>
        <v>45</v>
      </c>
      <c r="J25" s="98">
        <f t="shared" si="2"/>
        <v>0</v>
      </c>
      <c r="K25" s="99">
        <f t="shared" si="3"/>
        <v>0</v>
      </c>
      <c r="L25" s="99">
        <f t="shared" si="4"/>
        <v>0</v>
      </c>
    </row>
    <row r="26" spans="1:12">
      <c r="A26" s="1">
        <v>6</v>
      </c>
      <c r="B26" s="2" t="s">
        <v>203</v>
      </c>
      <c r="C26" s="2" t="s">
        <v>204</v>
      </c>
      <c r="D26" s="2" t="s">
        <v>196</v>
      </c>
      <c r="E26" s="2" t="s">
        <v>205</v>
      </c>
      <c r="F26" s="4">
        <v>25</v>
      </c>
      <c r="G26" s="3">
        <v>120</v>
      </c>
      <c r="H26" s="3">
        <f t="shared" si="0"/>
        <v>15</v>
      </c>
      <c r="I26" s="97">
        <f t="shared" si="1"/>
        <v>0</v>
      </c>
      <c r="J26" s="98">
        <f t="shared" si="2"/>
        <v>3000</v>
      </c>
      <c r="K26" s="99">
        <f t="shared" si="3"/>
        <v>120</v>
      </c>
      <c r="L26" s="99">
        <f t="shared" si="4"/>
        <v>3120</v>
      </c>
    </row>
    <row r="27" spans="1:12">
      <c r="A27" s="1">
        <v>8</v>
      </c>
      <c r="B27" s="2" t="s">
        <v>206</v>
      </c>
      <c r="C27" s="2" t="s">
        <v>204</v>
      </c>
      <c r="D27" s="2" t="s">
        <v>196</v>
      </c>
      <c r="E27" s="2" t="s">
        <v>207</v>
      </c>
      <c r="F27" s="4">
        <v>40</v>
      </c>
      <c r="G27" s="3">
        <v>6</v>
      </c>
      <c r="H27" s="3">
        <f t="shared" si="0"/>
        <v>15</v>
      </c>
      <c r="I27" s="97">
        <f t="shared" si="1"/>
        <v>99.000000000000014</v>
      </c>
      <c r="J27" s="98">
        <f t="shared" si="2"/>
        <v>240</v>
      </c>
      <c r="K27" s="99">
        <f t="shared" si="3"/>
        <v>6</v>
      </c>
      <c r="L27" s="99">
        <f t="shared" si="4"/>
        <v>246</v>
      </c>
    </row>
    <row r="28" spans="1:12">
      <c r="A28" s="1">
        <v>15</v>
      </c>
      <c r="B28" s="2" t="s">
        <v>208</v>
      </c>
      <c r="C28" s="2" t="s">
        <v>209</v>
      </c>
      <c r="D28" s="2" t="s">
        <v>196</v>
      </c>
      <c r="E28" s="2" t="s">
        <v>210</v>
      </c>
      <c r="F28" s="4">
        <v>15.5</v>
      </c>
      <c r="G28" s="3">
        <v>39</v>
      </c>
      <c r="H28" s="3">
        <f t="shared" si="0"/>
        <v>15</v>
      </c>
      <c r="I28" s="97">
        <f t="shared" si="1"/>
        <v>0</v>
      </c>
      <c r="J28" s="98">
        <f t="shared" si="2"/>
        <v>604.5</v>
      </c>
      <c r="K28" s="99">
        <f t="shared" si="3"/>
        <v>39</v>
      </c>
      <c r="L28" s="99">
        <f t="shared" si="4"/>
        <v>643.5</v>
      </c>
    </row>
    <row r="29" spans="1:12">
      <c r="A29" s="1">
        <v>44</v>
      </c>
      <c r="B29" s="2" t="s">
        <v>211</v>
      </c>
      <c r="C29" s="2" t="s">
        <v>167</v>
      </c>
      <c r="D29" s="2" t="s">
        <v>196</v>
      </c>
      <c r="E29" s="2" t="s">
        <v>212</v>
      </c>
      <c r="F29" s="4">
        <v>19.45</v>
      </c>
      <c r="G29" s="3">
        <v>27</v>
      </c>
      <c r="H29" s="3">
        <f t="shared" si="0"/>
        <v>15</v>
      </c>
      <c r="I29" s="97">
        <f t="shared" si="1"/>
        <v>0</v>
      </c>
      <c r="J29" s="98">
        <f t="shared" si="2"/>
        <v>525.15</v>
      </c>
      <c r="K29" s="99">
        <f t="shared" si="3"/>
        <v>27</v>
      </c>
      <c r="L29" s="99">
        <f t="shared" si="4"/>
        <v>552.15</v>
      </c>
    </row>
    <row r="30" spans="1:12">
      <c r="A30" s="1">
        <v>61</v>
      </c>
      <c r="B30" s="2" t="s">
        <v>213</v>
      </c>
      <c r="C30" s="2" t="s">
        <v>214</v>
      </c>
      <c r="D30" s="2" t="s">
        <v>196</v>
      </c>
      <c r="E30" s="2" t="s">
        <v>215</v>
      </c>
      <c r="F30" s="4">
        <v>28.5</v>
      </c>
      <c r="G30" s="3">
        <v>113</v>
      </c>
      <c r="H30" s="3">
        <f t="shared" si="0"/>
        <v>15</v>
      </c>
      <c r="I30" s="97">
        <f t="shared" si="1"/>
        <v>0</v>
      </c>
      <c r="J30" s="98">
        <f t="shared" si="2"/>
        <v>3220.5</v>
      </c>
      <c r="K30" s="99">
        <f t="shared" si="3"/>
        <v>113</v>
      </c>
      <c r="L30" s="99">
        <f t="shared" si="4"/>
        <v>3333.5</v>
      </c>
    </row>
    <row r="31" spans="1:12">
      <c r="A31" s="1">
        <v>63</v>
      </c>
      <c r="B31" s="2" t="s">
        <v>216</v>
      </c>
      <c r="C31" s="2" t="s">
        <v>171</v>
      </c>
      <c r="D31" s="2" t="s">
        <v>196</v>
      </c>
      <c r="E31" s="2" t="s">
        <v>217</v>
      </c>
      <c r="F31" s="4">
        <v>43.9</v>
      </c>
      <c r="G31" s="3">
        <v>24</v>
      </c>
      <c r="H31" s="3">
        <f t="shared" si="0"/>
        <v>15</v>
      </c>
      <c r="I31" s="97">
        <f t="shared" si="1"/>
        <v>0</v>
      </c>
      <c r="J31" s="98">
        <f t="shared" si="2"/>
        <v>1053.5999999999999</v>
      </c>
      <c r="K31" s="99">
        <f t="shared" si="3"/>
        <v>24</v>
      </c>
      <c r="L31" s="99">
        <f t="shared" si="4"/>
        <v>1077.5999999999999</v>
      </c>
    </row>
    <row r="32" spans="1:12">
      <c r="A32" s="1">
        <v>65</v>
      </c>
      <c r="B32" s="2" t="s">
        <v>218</v>
      </c>
      <c r="C32" s="2" t="s">
        <v>199</v>
      </c>
      <c r="D32" s="2" t="s">
        <v>196</v>
      </c>
      <c r="E32" s="2" t="s">
        <v>219</v>
      </c>
      <c r="F32" s="4">
        <v>21.05</v>
      </c>
      <c r="G32" s="3">
        <v>76</v>
      </c>
      <c r="H32" s="3">
        <f t="shared" si="0"/>
        <v>15</v>
      </c>
      <c r="I32" s="97">
        <f t="shared" si="1"/>
        <v>0</v>
      </c>
      <c r="J32" s="98">
        <f t="shared" si="2"/>
        <v>1599.8</v>
      </c>
      <c r="K32" s="99">
        <f t="shared" si="3"/>
        <v>76</v>
      </c>
      <c r="L32" s="99">
        <f t="shared" si="4"/>
        <v>1675.8</v>
      </c>
    </row>
    <row r="33" spans="1:12">
      <c r="A33" s="1">
        <v>66</v>
      </c>
      <c r="B33" s="2" t="s">
        <v>220</v>
      </c>
      <c r="C33" s="2" t="s">
        <v>199</v>
      </c>
      <c r="D33" s="2" t="s">
        <v>196</v>
      </c>
      <c r="E33" s="2" t="s">
        <v>221</v>
      </c>
      <c r="F33" s="4">
        <v>17</v>
      </c>
      <c r="G33" s="3">
        <v>4</v>
      </c>
      <c r="H33" s="3">
        <f t="shared" si="0"/>
        <v>15</v>
      </c>
      <c r="I33" s="97">
        <f t="shared" si="1"/>
        <v>66</v>
      </c>
      <c r="J33" s="98">
        <f t="shared" si="2"/>
        <v>68</v>
      </c>
      <c r="K33" s="99">
        <f t="shared" si="3"/>
        <v>4</v>
      </c>
      <c r="L33" s="99">
        <f t="shared" si="4"/>
        <v>72</v>
      </c>
    </row>
    <row r="34" spans="1:12">
      <c r="A34" s="1">
        <v>77</v>
      </c>
      <c r="B34" s="2" t="s">
        <v>222</v>
      </c>
      <c r="C34" s="2" t="s">
        <v>174</v>
      </c>
      <c r="D34" s="2" t="s">
        <v>196</v>
      </c>
      <c r="E34" s="2" t="s">
        <v>223</v>
      </c>
      <c r="F34" s="4">
        <v>13</v>
      </c>
      <c r="G34" s="3">
        <v>32</v>
      </c>
      <c r="H34" s="3">
        <f t="shared" si="0"/>
        <v>15</v>
      </c>
      <c r="I34" s="97">
        <f t="shared" si="1"/>
        <v>0</v>
      </c>
      <c r="J34" s="98">
        <f t="shared" si="2"/>
        <v>416</v>
      </c>
      <c r="K34" s="99">
        <f t="shared" si="3"/>
        <v>32</v>
      </c>
      <c r="L34" s="99">
        <f t="shared" si="4"/>
        <v>448</v>
      </c>
    </row>
    <row r="35" spans="1:12">
      <c r="A35" s="1">
        <v>7</v>
      </c>
      <c r="B35" s="2" t="s">
        <v>224</v>
      </c>
      <c r="C35" s="2" t="s">
        <v>204</v>
      </c>
      <c r="D35" s="2" t="s">
        <v>225</v>
      </c>
      <c r="E35" s="2" t="s">
        <v>226</v>
      </c>
      <c r="F35" s="4">
        <v>30</v>
      </c>
      <c r="G35" s="3">
        <v>15</v>
      </c>
      <c r="H35" s="3">
        <f t="shared" si="0"/>
        <v>10</v>
      </c>
      <c r="I35" s="97">
        <f t="shared" si="1"/>
        <v>0</v>
      </c>
      <c r="J35" s="98">
        <f t="shared" si="2"/>
        <v>450</v>
      </c>
      <c r="K35" s="99">
        <f t="shared" si="3"/>
        <v>75</v>
      </c>
      <c r="L35" s="99">
        <f t="shared" si="4"/>
        <v>525</v>
      </c>
    </row>
    <row r="36" spans="1:12">
      <c r="A36" s="1">
        <v>14</v>
      </c>
      <c r="B36" s="2" t="s">
        <v>227</v>
      </c>
      <c r="C36" s="2" t="s">
        <v>209</v>
      </c>
      <c r="D36" s="2" t="s">
        <v>225</v>
      </c>
      <c r="E36" s="2" t="s">
        <v>228</v>
      </c>
      <c r="F36" s="4">
        <v>23.25</v>
      </c>
      <c r="G36" s="3">
        <v>35</v>
      </c>
      <c r="H36" s="3">
        <f t="shared" si="0"/>
        <v>10</v>
      </c>
      <c r="I36" s="97">
        <f t="shared" si="1"/>
        <v>0</v>
      </c>
      <c r="J36" s="98">
        <f t="shared" si="2"/>
        <v>813.75</v>
      </c>
      <c r="K36" s="99">
        <f t="shared" si="3"/>
        <v>175</v>
      </c>
      <c r="L36" s="99">
        <f t="shared" si="4"/>
        <v>988.75</v>
      </c>
    </row>
    <row r="37" spans="1:12">
      <c r="A37" s="1">
        <v>28</v>
      </c>
      <c r="B37" s="2" t="s">
        <v>229</v>
      </c>
      <c r="C37" s="2" t="s">
        <v>174</v>
      </c>
      <c r="D37" s="2" t="s">
        <v>225</v>
      </c>
      <c r="E37" s="2" t="s">
        <v>230</v>
      </c>
      <c r="F37" s="4">
        <v>45.6</v>
      </c>
      <c r="G37" s="3">
        <v>26</v>
      </c>
      <c r="H37" s="3">
        <f t="shared" si="0"/>
        <v>10</v>
      </c>
      <c r="I37" s="97">
        <f t="shared" si="1"/>
        <v>0</v>
      </c>
      <c r="J37" s="98">
        <f t="shared" si="2"/>
        <v>1185.6000000000001</v>
      </c>
      <c r="K37" s="99">
        <f t="shared" si="3"/>
        <v>130</v>
      </c>
      <c r="L37" s="99">
        <f t="shared" si="4"/>
        <v>1315.6000000000001</v>
      </c>
    </row>
    <row r="38" spans="1:12">
      <c r="A38" s="1">
        <v>51</v>
      </c>
      <c r="B38" s="2" t="s">
        <v>231</v>
      </c>
      <c r="C38" s="2" t="s">
        <v>188</v>
      </c>
      <c r="D38" s="2" t="s">
        <v>225</v>
      </c>
      <c r="E38" s="2" t="s">
        <v>232</v>
      </c>
      <c r="F38" s="4">
        <v>53</v>
      </c>
      <c r="G38" s="3">
        <v>20</v>
      </c>
      <c r="H38" s="3">
        <f t="shared" si="0"/>
        <v>10</v>
      </c>
      <c r="I38" s="97">
        <f t="shared" si="1"/>
        <v>0</v>
      </c>
      <c r="J38" s="98">
        <f t="shared" si="2"/>
        <v>1060</v>
      </c>
      <c r="K38" s="99">
        <f t="shared" si="3"/>
        <v>100</v>
      </c>
      <c r="L38" s="99">
        <f t="shared" si="4"/>
        <v>1160</v>
      </c>
    </row>
    <row r="39" spans="1:12">
      <c r="A39" s="1">
        <v>74</v>
      </c>
      <c r="B39" s="2" t="s">
        <v>233</v>
      </c>
      <c r="C39" s="2" t="s">
        <v>180</v>
      </c>
      <c r="D39" s="2" t="s">
        <v>225</v>
      </c>
      <c r="E39" s="2" t="s">
        <v>234</v>
      </c>
      <c r="F39" s="4">
        <v>10</v>
      </c>
      <c r="G39" s="3">
        <v>4</v>
      </c>
      <c r="H39" s="3">
        <f t="shared" si="0"/>
        <v>10</v>
      </c>
      <c r="I39" s="97">
        <f t="shared" si="1"/>
        <v>44</v>
      </c>
      <c r="J39" s="98">
        <f t="shared" si="2"/>
        <v>40</v>
      </c>
      <c r="K39" s="99">
        <f t="shared" si="3"/>
        <v>20</v>
      </c>
      <c r="L39" s="99">
        <f t="shared" si="4"/>
        <v>60</v>
      </c>
    </row>
    <row r="40" spans="1:12">
      <c r="A40" s="1">
        <v>22</v>
      </c>
      <c r="B40" s="2" t="s">
        <v>235</v>
      </c>
      <c r="C40" s="2" t="s">
        <v>236</v>
      </c>
      <c r="D40" s="2" t="s">
        <v>237</v>
      </c>
      <c r="E40" s="2" t="s">
        <v>238</v>
      </c>
      <c r="F40" s="4">
        <v>21</v>
      </c>
      <c r="G40" s="3">
        <v>104</v>
      </c>
      <c r="H40" s="3">
        <f t="shared" si="0"/>
        <v>5</v>
      </c>
      <c r="I40" s="97">
        <f t="shared" si="1"/>
        <v>0</v>
      </c>
      <c r="J40" s="98">
        <f t="shared" si="2"/>
        <v>2184</v>
      </c>
      <c r="K40" s="99">
        <f t="shared" si="3"/>
        <v>312</v>
      </c>
      <c r="L40" s="99">
        <f t="shared" si="4"/>
        <v>2496</v>
      </c>
    </row>
    <row r="41" spans="1:12">
      <c r="A41" s="1">
        <v>23</v>
      </c>
      <c r="B41" s="2" t="s">
        <v>239</v>
      </c>
      <c r="C41" s="2" t="s">
        <v>236</v>
      </c>
      <c r="D41" s="2" t="s">
        <v>237</v>
      </c>
      <c r="E41" s="2" t="s">
        <v>240</v>
      </c>
      <c r="F41" s="4">
        <v>9</v>
      </c>
      <c r="G41" s="3">
        <v>61</v>
      </c>
      <c r="H41" s="3">
        <f t="shared" si="0"/>
        <v>5</v>
      </c>
      <c r="I41" s="97">
        <f t="shared" si="1"/>
        <v>0</v>
      </c>
      <c r="J41" s="98">
        <f t="shared" si="2"/>
        <v>549</v>
      </c>
      <c r="K41" s="99">
        <f t="shared" si="3"/>
        <v>183</v>
      </c>
      <c r="L41" s="99">
        <f t="shared" si="4"/>
        <v>732</v>
      </c>
    </row>
    <row r="42" spans="1:12">
      <c r="A42" s="1">
        <v>42</v>
      </c>
      <c r="B42" s="2" t="s">
        <v>241</v>
      </c>
      <c r="C42" s="2" t="s">
        <v>167</v>
      </c>
      <c r="D42" s="2" t="s">
        <v>237</v>
      </c>
      <c r="E42" s="2" t="s">
        <v>242</v>
      </c>
      <c r="F42" s="4">
        <v>14</v>
      </c>
      <c r="G42" s="3">
        <v>26</v>
      </c>
      <c r="H42" s="3">
        <f t="shared" si="0"/>
        <v>5</v>
      </c>
      <c r="I42" s="97">
        <f t="shared" si="1"/>
        <v>0</v>
      </c>
      <c r="J42" s="98">
        <f t="shared" si="2"/>
        <v>364</v>
      </c>
      <c r="K42" s="99">
        <f t="shared" si="3"/>
        <v>78</v>
      </c>
      <c r="L42" s="99">
        <f t="shared" si="4"/>
        <v>442</v>
      </c>
    </row>
    <row r="43" spans="1:12">
      <c r="A43" s="1">
        <v>52</v>
      </c>
      <c r="B43" s="2" t="s">
        <v>243</v>
      </c>
      <c r="C43" s="2" t="s">
        <v>188</v>
      </c>
      <c r="D43" s="2" t="s">
        <v>237</v>
      </c>
      <c r="E43" s="2" t="s">
        <v>244</v>
      </c>
      <c r="F43" s="4">
        <v>7</v>
      </c>
      <c r="G43" s="3">
        <v>38</v>
      </c>
      <c r="H43" s="3">
        <f t="shared" si="0"/>
        <v>5</v>
      </c>
      <c r="I43" s="97">
        <f t="shared" si="1"/>
        <v>0</v>
      </c>
      <c r="J43" s="98">
        <f t="shared" si="2"/>
        <v>266</v>
      </c>
      <c r="K43" s="99">
        <f t="shared" si="3"/>
        <v>114</v>
      </c>
      <c r="L43" s="99">
        <f t="shared" si="4"/>
        <v>380</v>
      </c>
    </row>
    <row r="44" spans="1:12">
      <c r="A44" s="1">
        <v>56</v>
      </c>
      <c r="B44" s="2" t="s">
        <v>245</v>
      </c>
      <c r="C44" s="2" t="s">
        <v>246</v>
      </c>
      <c r="D44" s="2" t="s">
        <v>237</v>
      </c>
      <c r="E44" s="2" t="s">
        <v>247</v>
      </c>
      <c r="F44" s="4">
        <v>38</v>
      </c>
      <c r="G44" s="3">
        <v>21</v>
      </c>
      <c r="H44" s="3">
        <f t="shared" si="0"/>
        <v>5</v>
      </c>
      <c r="I44" s="97">
        <f t="shared" si="1"/>
        <v>0</v>
      </c>
      <c r="J44" s="98">
        <f t="shared" si="2"/>
        <v>798</v>
      </c>
      <c r="K44" s="99">
        <f t="shared" si="3"/>
        <v>63</v>
      </c>
      <c r="L44" s="99">
        <f t="shared" si="4"/>
        <v>861</v>
      </c>
    </row>
    <row r="45" spans="1:12">
      <c r="A45" s="1">
        <v>57</v>
      </c>
      <c r="B45" s="2" t="s">
        <v>248</v>
      </c>
      <c r="C45" s="2" t="s">
        <v>246</v>
      </c>
      <c r="D45" s="2" t="s">
        <v>237</v>
      </c>
      <c r="E45" s="2" t="s">
        <v>247</v>
      </c>
      <c r="F45" s="4">
        <v>19.5</v>
      </c>
      <c r="G45" s="3">
        <v>36</v>
      </c>
      <c r="H45" s="3">
        <f t="shared" si="0"/>
        <v>5</v>
      </c>
      <c r="I45" s="97">
        <f t="shared" si="1"/>
        <v>0</v>
      </c>
      <c r="J45" s="98">
        <f t="shared" si="2"/>
        <v>702</v>
      </c>
      <c r="K45" s="99">
        <f t="shared" si="3"/>
        <v>108</v>
      </c>
      <c r="L45" s="99">
        <f t="shared" si="4"/>
        <v>810</v>
      </c>
    </row>
    <row r="46" spans="1:12">
      <c r="A46" s="1">
        <v>64</v>
      </c>
      <c r="B46" s="2" t="s">
        <v>249</v>
      </c>
      <c r="C46" s="2" t="s">
        <v>174</v>
      </c>
      <c r="D46" s="2" t="s">
        <v>237</v>
      </c>
      <c r="E46" s="2" t="s">
        <v>250</v>
      </c>
      <c r="F46" s="4">
        <v>33.25</v>
      </c>
      <c r="G46" s="3">
        <v>22</v>
      </c>
      <c r="H46" s="3">
        <f t="shared" si="0"/>
        <v>5</v>
      </c>
      <c r="I46" s="97">
        <f t="shared" si="1"/>
        <v>0</v>
      </c>
      <c r="J46" s="98">
        <f t="shared" si="2"/>
        <v>731.5</v>
      </c>
      <c r="K46" s="99">
        <f t="shared" si="3"/>
        <v>66</v>
      </c>
      <c r="L46" s="99">
        <f t="shared" si="4"/>
        <v>797.5</v>
      </c>
    </row>
    <row r="47" spans="1:12">
      <c r="A47" s="1">
        <v>11</v>
      </c>
      <c r="B47" s="2" t="s">
        <v>251</v>
      </c>
      <c r="C47" s="2" t="s">
        <v>252</v>
      </c>
      <c r="D47" s="2" t="s">
        <v>253</v>
      </c>
      <c r="E47" s="2" t="s">
        <v>254</v>
      </c>
      <c r="F47" s="4">
        <v>21</v>
      </c>
      <c r="G47" s="3">
        <v>22</v>
      </c>
      <c r="H47" s="3">
        <f t="shared" si="0"/>
        <v>10</v>
      </c>
      <c r="I47" s="97">
        <f t="shared" si="1"/>
        <v>0</v>
      </c>
      <c r="J47" s="98">
        <f t="shared" si="2"/>
        <v>462</v>
      </c>
      <c r="K47" s="99">
        <f t="shared" si="3"/>
        <v>110</v>
      </c>
      <c r="L47" s="99">
        <f t="shared" si="4"/>
        <v>572</v>
      </c>
    </row>
    <row r="48" spans="1:12">
      <c r="A48" s="1">
        <v>12</v>
      </c>
      <c r="B48" s="2" t="s">
        <v>255</v>
      </c>
      <c r="C48" s="2" t="s">
        <v>252</v>
      </c>
      <c r="D48" s="2" t="s">
        <v>253</v>
      </c>
      <c r="E48" s="2" t="s">
        <v>256</v>
      </c>
      <c r="F48" s="4">
        <v>38</v>
      </c>
      <c r="G48" s="3">
        <v>86</v>
      </c>
      <c r="H48" s="3">
        <f t="shared" si="0"/>
        <v>10</v>
      </c>
      <c r="I48" s="97">
        <f t="shared" si="1"/>
        <v>0</v>
      </c>
      <c r="J48" s="98">
        <f t="shared" si="2"/>
        <v>3268</v>
      </c>
      <c r="K48" s="99">
        <f t="shared" si="3"/>
        <v>430</v>
      </c>
      <c r="L48" s="99">
        <f t="shared" si="4"/>
        <v>3698</v>
      </c>
    </row>
    <row r="49" spans="1:12">
      <c r="A49" s="1">
        <v>31</v>
      </c>
      <c r="B49" s="2" t="s">
        <v>257</v>
      </c>
      <c r="C49" s="2" t="s">
        <v>258</v>
      </c>
      <c r="D49" s="2" t="s">
        <v>253</v>
      </c>
      <c r="E49" s="2" t="s">
        <v>259</v>
      </c>
      <c r="F49" s="4">
        <v>12.5</v>
      </c>
      <c r="G49" s="3">
        <v>0</v>
      </c>
      <c r="H49" s="3">
        <f t="shared" si="0"/>
        <v>10</v>
      </c>
      <c r="I49" s="97">
        <f t="shared" si="1"/>
        <v>30</v>
      </c>
      <c r="J49" s="98">
        <f t="shared" si="2"/>
        <v>0</v>
      </c>
      <c r="K49" s="99">
        <f t="shared" si="3"/>
        <v>0</v>
      </c>
      <c r="L49" s="99">
        <f t="shared" si="4"/>
        <v>0</v>
      </c>
    </row>
    <row r="50" spans="1:12">
      <c r="A50" s="1">
        <v>32</v>
      </c>
      <c r="B50" s="2" t="s">
        <v>260</v>
      </c>
      <c r="C50" s="2" t="s">
        <v>258</v>
      </c>
      <c r="D50" s="2" t="s">
        <v>253</v>
      </c>
      <c r="E50" s="2" t="s">
        <v>261</v>
      </c>
      <c r="F50" s="4">
        <v>32</v>
      </c>
      <c r="G50" s="3">
        <v>9</v>
      </c>
      <c r="H50" s="3">
        <f t="shared" si="0"/>
        <v>10</v>
      </c>
      <c r="I50" s="97">
        <f t="shared" si="1"/>
        <v>99.000000000000014</v>
      </c>
      <c r="J50" s="98">
        <f t="shared" si="2"/>
        <v>288</v>
      </c>
      <c r="K50" s="99">
        <f t="shared" si="3"/>
        <v>45</v>
      </c>
      <c r="L50" s="99">
        <f t="shared" si="4"/>
        <v>333</v>
      </c>
    </row>
    <row r="51" spans="1:12">
      <c r="A51" s="1">
        <v>33</v>
      </c>
      <c r="B51" s="2" t="s">
        <v>262</v>
      </c>
      <c r="C51" s="2" t="s">
        <v>263</v>
      </c>
      <c r="D51" s="2" t="s">
        <v>253</v>
      </c>
      <c r="E51" s="2" t="s">
        <v>264</v>
      </c>
      <c r="F51" s="4">
        <v>2.5</v>
      </c>
      <c r="G51" s="3">
        <v>112</v>
      </c>
      <c r="H51" s="3">
        <f t="shared" si="0"/>
        <v>10</v>
      </c>
      <c r="I51" s="97">
        <f t="shared" si="1"/>
        <v>0</v>
      </c>
      <c r="J51" s="98">
        <f t="shared" si="2"/>
        <v>280</v>
      </c>
      <c r="K51" s="99">
        <f t="shared" si="3"/>
        <v>560</v>
      </c>
      <c r="L51" s="99">
        <f t="shared" si="4"/>
        <v>840</v>
      </c>
    </row>
    <row r="52" spans="1:12">
      <c r="A52" s="1">
        <v>59</v>
      </c>
      <c r="B52" s="2" t="s">
        <v>265</v>
      </c>
      <c r="C52" s="2" t="s">
        <v>266</v>
      </c>
      <c r="D52" s="2" t="s">
        <v>253</v>
      </c>
      <c r="E52" s="2" t="s">
        <v>234</v>
      </c>
      <c r="F52" s="4">
        <v>55</v>
      </c>
      <c r="G52" s="3">
        <v>79</v>
      </c>
      <c r="H52" s="3">
        <f t="shared" si="0"/>
        <v>10</v>
      </c>
      <c r="I52" s="97">
        <f t="shared" si="1"/>
        <v>0</v>
      </c>
      <c r="J52" s="98">
        <f t="shared" si="2"/>
        <v>4345</v>
      </c>
      <c r="K52" s="99">
        <f t="shared" si="3"/>
        <v>395</v>
      </c>
      <c r="L52" s="99">
        <f t="shared" si="4"/>
        <v>4740</v>
      </c>
    </row>
    <row r="53" spans="1:12">
      <c r="A53" s="1">
        <v>60</v>
      </c>
      <c r="B53" s="2" t="s">
        <v>267</v>
      </c>
      <c r="C53" s="2" t="s">
        <v>266</v>
      </c>
      <c r="D53" s="2" t="s">
        <v>253</v>
      </c>
      <c r="E53" s="2" t="s">
        <v>268</v>
      </c>
      <c r="F53" s="4">
        <v>34</v>
      </c>
      <c r="G53" s="3">
        <v>19</v>
      </c>
      <c r="H53" s="3">
        <f t="shared" si="0"/>
        <v>10</v>
      </c>
      <c r="I53" s="97">
        <f t="shared" si="1"/>
        <v>0</v>
      </c>
      <c r="J53" s="98">
        <f t="shared" si="2"/>
        <v>646</v>
      </c>
      <c r="K53" s="99">
        <f t="shared" si="3"/>
        <v>95</v>
      </c>
      <c r="L53" s="99">
        <f t="shared" si="4"/>
        <v>741</v>
      </c>
    </row>
    <row r="54" spans="1:12">
      <c r="A54" s="1">
        <v>69</v>
      </c>
      <c r="B54" s="2" t="s">
        <v>269</v>
      </c>
      <c r="C54" s="2" t="s">
        <v>263</v>
      </c>
      <c r="D54" s="2" t="s">
        <v>253</v>
      </c>
      <c r="E54" s="2" t="s">
        <v>270</v>
      </c>
      <c r="F54" s="4">
        <v>36</v>
      </c>
      <c r="G54" s="3">
        <v>26</v>
      </c>
      <c r="H54" s="3">
        <f t="shared" si="0"/>
        <v>10</v>
      </c>
      <c r="I54" s="97">
        <f t="shared" si="1"/>
        <v>0</v>
      </c>
      <c r="J54" s="98">
        <f t="shared" si="2"/>
        <v>936</v>
      </c>
      <c r="K54" s="99">
        <f t="shared" si="3"/>
        <v>130</v>
      </c>
      <c r="L54" s="99">
        <f t="shared" si="4"/>
        <v>1066</v>
      </c>
    </row>
    <row r="55" spans="1:12">
      <c r="A55" s="1">
        <v>71</v>
      </c>
      <c r="B55" s="2" t="s">
        <v>271</v>
      </c>
      <c r="C55" s="2" t="s">
        <v>263</v>
      </c>
      <c r="D55" s="2" t="s">
        <v>253</v>
      </c>
      <c r="E55" s="2" t="s">
        <v>256</v>
      </c>
      <c r="F55" s="4">
        <v>21.5</v>
      </c>
      <c r="G55" s="3">
        <v>26</v>
      </c>
      <c r="H55" s="3">
        <f t="shared" si="0"/>
        <v>10</v>
      </c>
      <c r="I55" s="97">
        <f t="shared" si="1"/>
        <v>0</v>
      </c>
      <c r="J55" s="98">
        <f t="shared" si="2"/>
        <v>559</v>
      </c>
      <c r="K55" s="99">
        <f t="shared" si="3"/>
        <v>130</v>
      </c>
      <c r="L55" s="99">
        <f t="shared" si="4"/>
        <v>689</v>
      </c>
    </row>
    <row r="56" spans="1:12">
      <c r="A56" s="1">
        <v>72</v>
      </c>
      <c r="B56" s="2" t="s">
        <v>272</v>
      </c>
      <c r="C56" s="2" t="s">
        <v>258</v>
      </c>
      <c r="D56" s="2" t="s">
        <v>253</v>
      </c>
      <c r="E56" s="2" t="s">
        <v>261</v>
      </c>
      <c r="F56" s="4">
        <v>34.799999999999997</v>
      </c>
      <c r="G56" s="3">
        <v>14</v>
      </c>
      <c r="H56" s="3">
        <f t="shared" si="0"/>
        <v>10</v>
      </c>
      <c r="I56" s="97">
        <f t="shared" si="1"/>
        <v>0</v>
      </c>
      <c r="J56" s="98">
        <f t="shared" si="2"/>
        <v>487.19999999999993</v>
      </c>
      <c r="K56" s="99">
        <f t="shared" si="3"/>
        <v>70</v>
      </c>
      <c r="L56" s="99">
        <f t="shared" si="4"/>
        <v>557.19999999999993</v>
      </c>
    </row>
    <row r="57" spans="1:12">
      <c r="A57" s="1">
        <v>10</v>
      </c>
      <c r="B57" s="2" t="s">
        <v>273</v>
      </c>
      <c r="C57" s="2" t="s">
        <v>180</v>
      </c>
      <c r="D57" s="2" t="s">
        <v>274</v>
      </c>
      <c r="E57" s="2" t="s">
        <v>275</v>
      </c>
      <c r="F57" s="4">
        <v>31</v>
      </c>
      <c r="G57" s="3">
        <v>31</v>
      </c>
      <c r="H57" s="3">
        <f t="shared" si="0"/>
        <v>5</v>
      </c>
      <c r="I57" s="97">
        <f t="shared" si="1"/>
        <v>0</v>
      </c>
      <c r="J57" s="98">
        <f t="shared" si="2"/>
        <v>961</v>
      </c>
      <c r="K57" s="99">
        <f t="shared" si="3"/>
        <v>155</v>
      </c>
      <c r="L57" s="99">
        <f t="shared" si="4"/>
        <v>1116</v>
      </c>
    </row>
    <row r="58" spans="1:12">
      <c r="A58" s="1">
        <v>13</v>
      </c>
      <c r="B58" s="2" t="s">
        <v>276</v>
      </c>
      <c r="C58" s="2" t="s">
        <v>209</v>
      </c>
      <c r="D58" s="2" t="s">
        <v>274</v>
      </c>
      <c r="E58" s="2" t="s">
        <v>277</v>
      </c>
      <c r="F58" s="4">
        <v>6</v>
      </c>
      <c r="G58" s="3">
        <v>24</v>
      </c>
      <c r="H58" s="3">
        <f t="shared" si="0"/>
        <v>5</v>
      </c>
      <c r="I58" s="97">
        <f t="shared" si="1"/>
        <v>0</v>
      </c>
      <c r="J58" s="98">
        <f t="shared" si="2"/>
        <v>144</v>
      </c>
      <c r="K58" s="99">
        <f t="shared" si="3"/>
        <v>120</v>
      </c>
      <c r="L58" s="99">
        <f t="shared" si="4"/>
        <v>264</v>
      </c>
    </row>
    <row r="59" spans="1:12">
      <c r="A59" s="1">
        <v>18</v>
      </c>
      <c r="B59" s="2" t="s">
        <v>278</v>
      </c>
      <c r="C59" s="2" t="s">
        <v>171</v>
      </c>
      <c r="D59" s="2" t="s">
        <v>274</v>
      </c>
      <c r="E59" s="2" t="s">
        <v>279</v>
      </c>
      <c r="F59" s="4">
        <v>62.5</v>
      </c>
      <c r="G59" s="3">
        <v>42</v>
      </c>
      <c r="H59" s="3">
        <f t="shared" si="0"/>
        <v>5</v>
      </c>
      <c r="I59" s="97">
        <f t="shared" si="1"/>
        <v>0</v>
      </c>
      <c r="J59" s="98">
        <f t="shared" si="2"/>
        <v>2625</v>
      </c>
      <c r="K59" s="99">
        <f t="shared" si="3"/>
        <v>210</v>
      </c>
      <c r="L59" s="99">
        <f t="shared" si="4"/>
        <v>2835</v>
      </c>
    </row>
    <row r="60" spans="1:12">
      <c r="A60" s="1">
        <v>30</v>
      </c>
      <c r="B60" s="2" t="s">
        <v>280</v>
      </c>
      <c r="C60" s="2" t="s">
        <v>281</v>
      </c>
      <c r="D60" s="2" t="s">
        <v>274</v>
      </c>
      <c r="E60" s="2" t="s">
        <v>282</v>
      </c>
      <c r="F60" s="4">
        <v>25.89</v>
      </c>
      <c r="G60" s="3">
        <v>10</v>
      </c>
      <c r="H60" s="3">
        <f t="shared" si="0"/>
        <v>5</v>
      </c>
      <c r="I60" s="97">
        <f t="shared" si="1"/>
        <v>0</v>
      </c>
      <c r="J60" s="98">
        <f t="shared" si="2"/>
        <v>258.89999999999998</v>
      </c>
      <c r="K60" s="99">
        <f t="shared" si="3"/>
        <v>50</v>
      </c>
      <c r="L60" s="99">
        <f t="shared" si="4"/>
        <v>308.89999999999998</v>
      </c>
    </row>
    <row r="61" spans="1:12">
      <c r="A61" s="1">
        <v>36</v>
      </c>
      <c r="B61" s="2" t="s">
        <v>283</v>
      </c>
      <c r="C61" s="2" t="s">
        <v>284</v>
      </c>
      <c r="D61" s="2" t="s">
        <v>274</v>
      </c>
      <c r="E61" s="2" t="s">
        <v>285</v>
      </c>
      <c r="F61" s="4">
        <v>19</v>
      </c>
      <c r="G61" s="3">
        <v>112</v>
      </c>
      <c r="H61" s="3">
        <f t="shared" si="0"/>
        <v>5</v>
      </c>
      <c r="I61" s="97">
        <f t="shared" si="1"/>
        <v>0</v>
      </c>
      <c r="J61" s="98">
        <f t="shared" si="2"/>
        <v>2128</v>
      </c>
      <c r="K61" s="99">
        <f t="shared" si="3"/>
        <v>560</v>
      </c>
      <c r="L61" s="99">
        <f t="shared" si="4"/>
        <v>2688</v>
      </c>
    </row>
    <row r="62" spans="1:12">
      <c r="A62" s="1">
        <v>37</v>
      </c>
      <c r="B62" s="2" t="s">
        <v>286</v>
      </c>
      <c r="C62" s="2" t="s">
        <v>284</v>
      </c>
      <c r="D62" s="2" t="s">
        <v>274</v>
      </c>
      <c r="E62" s="2" t="s">
        <v>287</v>
      </c>
      <c r="F62" s="4">
        <v>26</v>
      </c>
      <c r="G62" s="3">
        <v>11</v>
      </c>
      <c r="H62" s="3">
        <f t="shared" si="0"/>
        <v>5</v>
      </c>
      <c r="I62" s="97">
        <f t="shared" si="1"/>
        <v>0</v>
      </c>
      <c r="J62" s="98">
        <f t="shared" si="2"/>
        <v>286</v>
      </c>
      <c r="K62" s="99">
        <f t="shared" si="3"/>
        <v>55</v>
      </c>
      <c r="L62" s="99">
        <f t="shared" si="4"/>
        <v>341</v>
      </c>
    </row>
    <row r="63" spans="1:12">
      <c r="A63" s="1">
        <v>40</v>
      </c>
      <c r="B63" s="2" t="s">
        <v>288</v>
      </c>
      <c r="C63" s="2" t="s">
        <v>289</v>
      </c>
      <c r="D63" s="2" t="s">
        <v>274</v>
      </c>
      <c r="E63" s="2" t="s">
        <v>290</v>
      </c>
      <c r="F63" s="4">
        <v>18.399999999999999</v>
      </c>
      <c r="G63" s="3">
        <v>123</v>
      </c>
      <c r="H63" s="3">
        <f t="shared" si="0"/>
        <v>5</v>
      </c>
      <c r="I63" s="97">
        <f t="shared" si="1"/>
        <v>0</v>
      </c>
      <c r="J63" s="98">
        <f t="shared" si="2"/>
        <v>2263.1999999999998</v>
      </c>
      <c r="K63" s="99">
        <f t="shared" si="3"/>
        <v>615</v>
      </c>
      <c r="L63" s="99">
        <f t="shared" si="4"/>
        <v>2878.2</v>
      </c>
    </row>
    <row r="64" spans="1:12">
      <c r="A64" s="1">
        <v>41</v>
      </c>
      <c r="B64" s="2" t="s">
        <v>291</v>
      </c>
      <c r="C64" s="2" t="s">
        <v>289</v>
      </c>
      <c r="D64" s="2" t="s">
        <v>274</v>
      </c>
      <c r="E64" s="2" t="s">
        <v>292</v>
      </c>
      <c r="F64" s="4">
        <v>9.65</v>
      </c>
      <c r="G64" s="3">
        <v>85</v>
      </c>
      <c r="H64" s="3">
        <f t="shared" si="0"/>
        <v>5</v>
      </c>
      <c r="I64" s="97">
        <f t="shared" si="1"/>
        <v>0</v>
      </c>
      <c r="J64" s="98">
        <f t="shared" si="2"/>
        <v>820.25</v>
      </c>
      <c r="K64" s="99">
        <f t="shared" si="3"/>
        <v>425</v>
      </c>
      <c r="L64" s="99">
        <f t="shared" si="4"/>
        <v>1245.25</v>
      </c>
    </row>
    <row r="65" spans="1:12">
      <c r="A65" s="1">
        <v>45</v>
      </c>
      <c r="B65" s="2" t="s">
        <v>293</v>
      </c>
      <c r="C65" s="2" t="s">
        <v>294</v>
      </c>
      <c r="D65" s="2" t="s">
        <v>274</v>
      </c>
      <c r="E65" s="2" t="s">
        <v>295</v>
      </c>
      <c r="F65" s="4">
        <v>9.5</v>
      </c>
      <c r="G65" s="3">
        <v>5</v>
      </c>
      <c r="H65" s="3">
        <f t="shared" si="0"/>
        <v>5</v>
      </c>
      <c r="I65" s="97">
        <f t="shared" si="1"/>
        <v>0</v>
      </c>
      <c r="J65" s="98">
        <f t="shared" si="2"/>
        <v>47.5</v>
      </c>
      <c r="K65" s="99">
        <f t="shared" si="3"/>
        <v>25</v>
      </c>
      <c r="L65" s="99">
        <f t="shared" si="4"/>
        <v>72.5</v>
      </c>
    </row>
    <row r="66" spans="1:12">
      <c r="A66" s="1">
        <v>46</v>
      </c>
      <c r="B66" s="2" t="s">
        <v>296</v>
      </c>
      <c r="C66" s="2" t="s">
        <v>294</v>
      </c>
      <c r="D66" s="2" t="s">
        <v>274</v>
      </c>
      <c r="E66" s="2" t="s">
        <v>297</v>
      </c>
      <c r="F66" s="4">
        <v>12</v>
      </c>
      <c r="G66" s="3">
        <v>95</v>
      </c>
      <c r="H66" s="3">
        <f t="shared" si="0"/>
        <v>5</v>
      </c>
      <c r="I66" s="97">
        <f t="shared" si="1"/>
        <v>0</v>
      </c>
      <c r="J66" s="98">
        <f t="shared" si="2"/>
        <v>1140</v>
      </c>
      <c r="K66" s="99">
        <f t="shared" si="3"/>
        <v>475</v>
      </c>
      <c r="L66" s="99">
        <f t="shared" si="4"/>
        <v>1615</v>
      </c>
    </row>
    <row r="67" spans="1:12">
      <c r="A67" s="1">
        <v>58</v>
      </c>
      <c r="B67" s="2" t="s">
        <v>298</v>
      </c>
      <c r="C67" s="2" t="s">
        <v>299</v>
      </c>
      <c r="D67" s="2" t="s">
        <v>274</v>
      </c>
      <c r="E67" s="2" t="s">
        <v>300</v>
      </c>
      <c r="F67" s="4">
        <v>13.25</v>
      </c>
      <c r="G67" s="3">
        <v>62</v>
      </c>
      <c r="H67" s="3">
        <f t="shared" si="0"/>
        <v>5</v>
      </c>
      <c r="I67" s="97">
        <f t="shared" si="1"/>
        <v>0</v>
      </c>
      <c r="J67" s="98">
        <f t="shared" si="2"/>
        <v>821.5</v>
      </c>
      <c r="K67" s="99">
        <f t="shared" si="3"/>
        <v>310</v>
      </c>
      <c r="L67" s="99">
        <f t="shared" si="4"/>
        <v>1131.5</v>
      </c>
    </row>
    <row r="68" spans="1:12">
      <c r="A68" s="1">
        <v>73</v>
      </c>
      <c r="B68" s="2" t="s">
        <v>301</v>
      </c>
      <c r="C68" s="2" t="s">
        <v>284</v>
      </c>
      <c r="D68" s="2" t="s">
        <v>274</v>
      </c>
      <c r="E68" s="2" t="s">
        <v>302</v>
      </c>
      <c r="F68" s="4">
        <v>15</v>
      </c>
      <c r="G68" s="3">
        <v>101</v>
      </c>
      <c r="H68" s="3">
        <f t="shared" si="0"/>
        <v>5</v>
      </c>
      <c r="I68" s="97">
        <f t="shared" si="1"/>
        <v>0</v>
      </c>
      <c r="J68" s="98">
        <f t="shared" si="2"/>
        <v>1515</v>
      </c>
      <c r="K68" s="99">
        <f t="shared" si="3"/>
        <v>505</v>
      </c>
      <c r="L68" s="99">
        <f t="shared" si="4"/>
        <v>2020</v>
      </c>
    </row>
    <row r="69" spans="1:12">
      <c r="A69" s="1">
        <v>16</v>
      </c>
      <c r="B69" s="2" t="s">
        <v>303</v>
      </c>
      <c r="C69" s="2" t="s">
        <v>171</v>
      </c>
      <c r="D69" s="2" t="s">
        <v>304</v>
      </c>
      <c r="E69" s="2" t="s">
        <v>305</v>
      </c>
      <c r="F69" s="4">
        <v>17.45</v>
      </c>
      <c r="G69" s="3">
        <v>29</v>
      </c>
      <c r="H69" s="3">
        <f t="shared" si="0"/>
        <v>25</v>
      </c>
      <c r="I69" s="97">
        <f t="shared" si="1"/>
        <v>0</v>
      </c>
      <c r="J69" s="98">
        <f t="shared" si="2"/>
        <v>506.04999999999995</v>
      </c>
      <c r="K69" s="99">
        <f t="shared" si="3"/>
        <v>58</v>
      </c>
      <c r="L69" s="99">
        <f t="shared" si="4"/>
        <v>564.04999999999995</v>
      </c>
    </row>
    <row r="70" spans="1:12">
      <c r="A70" s="1">
        <v>19</v>
      </c>
      <c r="B70" s="2" t="s">
        <v>306</v>
      </c>
      <c r="C70" s="2" t="s">
        <v>307</v>
      </c>
      <c r="D70" s="2" t="s">
        <v>304</v>
      </c>
      <c r="E70" s="2" t="s">
        <v>308</v>
      </c>
      <c r="F70" s="4">
        <v>9.1999999999999993</v>
      </c>
      <c r="G70" s="3">
        <v>25</v>
      </c>
      <c r="H70" s="3">
        <f t="shared" ref="H70:H81" si="5">VLOOKUP(D70,$B$85:$D$93,2,0)</f>
        <v>25</v>
      </c>
      <c r="I70" s="97">
        <f t="shared" ref="I70:I81" si="6">IF(G70=0,H70*3,IF(G70&lt;H70,(G70*H70)*1.1,0))</f>
        <v>0</v>
      </c>
      <c r="J70" s="98">
        <f t="shared" ref="J70:J81" si="7">G70*F70</f>
        <v>229.99999999999997</v>
      </c>
      <c r="K70" s="99">
        <f t="shared" ref="K70:K81" si="8">VLOOKUP(D70,$B$85:$D$93,3,0)*G70</f>
        <v>50</v>
      </c>
      <c r="L70" s="99">
        <f t="shared" ref="L70:L81" si="9">J70+K70</f>
        <v>280</v>
      </c>
    </row>
    <row r="71" spans="1:12">
      <c r="A71" s="1">
        <v>20</v>
      </c>
      <c r="B71" s="2" t="s">
        <v>309</v>
      </c>
      <c r="C71" s="2" t="s">
        <v>307</v>
      </c>
      <c r="D71" s="2" t="s">
        <v>304</v>
      </c>
      <c r="E71" s="2" t="s">
        <v>310</v>
      </c>
      <c r="F71" s="4">
        <v>81</v>
      </c>
      <c r="G71" s="3">
        <v>40</v>
      </c>
      <c r="H71" s="3">
        <f t="shared" si="5"/>
        <v>25</v>
      </c>
      <c r="I71" s="97">
        <f t="shared" si="6"/>
        <v>0</v>
      </c>
      <c r="J71" s="98">
        <f t="shared" si="7"/>
        <v>3240</v>
      </c>
      <c r="K71" s="99">
        <f t="shared" si="8"/>
        <v>80</v>
      </c>
      <c r="L71" s="99">
        <f t="shared" si="9"/>
        <v>3320</v>
      </c>
    </row>
    <row r="72" spans="1:12">
      <c r="A72" s="1">
        <v>21</v>
      </c>
      <c r="B72" s="2" t="s">
        <v>311</v>
      </c>
      <c r="C72" s="2" t="s">
        <v>307</v>
      </c>
      <c r="D72" s="2" t="s">
        <v>304</v>
      </c>
      <c r="E72" s="2" t="s">
        <v>312</v>
      </c>
      <c r="F72" s="4">
        <v>10</v>
      </c>
      <c r="G72" s="3">
        <v>3</v>
      </c>
      <c r="H72" s="3">
        <f t="shared" si="5"/>
        <v>25</v>
      </c>
      <c r="I72" s="97">
        <f t="shared" si="6"/>
        <v>82.5</v>
      </c>
      <c r="J72" s="98">
        <f t="shared" si="7"/>
        <v>30</v>
      </c>
      <c r="K72" s="99">
        <f t="shared" si="8"/>
        <v>6</v>
      </c>
      <c r="L72" s="99">
        <f t="shared" si="9"/>
        <v>36</v>
      </c>
    </row>
    <row r="73" spans="1:12">
      <c r="A73" s="1">
        <v>25</v>
      </c>
      <c r="B73" s="2" t="s">
        <v>313</v>
      </c>
      <c r="C73" s="2" t="s">
        <v>314</v>
      </c>
      <c r="D73" s="2" t="s">
        <v>304</v>
      </c>
      <c r="E73" s="2" t="s">
        <v>315</v>
      </c>
      <c r="F73" s="4">
        <v>14</v>
      </c>
      <c r="G73" s="3">
        <v>76</v>
      </c>
      <c r="H73" s="3">
        <f t="shared" si="5"/>
        <v>25</v>
      </c>
      <c r="I73" s="97">
        <f t="shared" si="6"/>
        <v>0</v>
      </c>
      <c r="J73" s="98">
        <f t="shared" si="7"/>
        <v>1064</v>
      </c>
      <c r="K73" s="99">
        <f t="shared" si="8"/>
        <v>152</v>
      </c>
      <c r="L73" s="99">
        <f t="shared" si="9"/>
        <v>1216</v>
      </c>
    </row>
    <row r="74" spans="1:12">
      <c r="A74" s="1">
        <v>26</v>
      </c>
      <c r="B74" s="2" t="s">
        <v>316</v>
      </c>
      <c r="C74" s="2" t="s">
        <v>314</v>
      </c>
      <c r="D74" s="2" t="s">
        <v>304</v>
      </c>
      <c r="E74" s="2" t="s">
        <v>317</v>
      </c>
      <c r="F74" s="4">
        <v>31.23</v>
      </c>
      <c r="G74" s="3">
        <v>15</v>
      </c>
      <c r="H74" s="3">
        <f t="shared" si="5"/>
        <v>25</v>
      </c>
      <c r="I74" s="97">
        <f t="shared" si="6"/>
        <v>412.50000000000006</v>
      </c>
      <c r="J74" s="98">
        <f t="shared" si="7"/>
        <v>468.45</v>
      </c>
      <c r="K74" s="99">
        <f t="shared" si="8"/>
        <v>30</v>
      </c>
      <c r="L74" s="99">
        <f t="shared" si="9"/>
        <v>498.45</v>
      </c>
    </row>
    <row r="75" spans="1:12">
      <c r="A75" s="1">
        <v>27</v>
      </c>
      <c r="B75" s="2" t="s">
        <v>318</v>
      </c>
      <c r="C75" s="2" t="s">
        <v>314</v>
      </c>
      <c r="D75" s="2" t="s">
        <v>304</v>
      </c>
      <c r="E75" s="2" t="s">
        <v>319</v>
      </c>
      <c r="F75" s="4">
        <v>43.9</v>
      </c>
      <c r="G75" s="3">
        <v>49</v>
      </c>
      <c r="H75" s="3">
        <f t="shared" si="5"/>
        <v>25</v>
      </c>
      <c r="I75" s="97">
        <f t="shared" si="6"/>
        <v>0</v>
      </c>
      <c r="J75" s="98">
        <f t="shared" si="7"/>
        <v>2151.1</v>
      </c>
      <c r="K75" s="99">
        <f t="shared" si="8"/>
        <v>98</v>
      </c>
      <c r="L75" s="99">
        <f t="shared" si="9"/>
        <v>2249.1</v>
      </c>
    </row>
    <row r="76" spans="1:12">
      <c r="A76" s="1">
        <v>47</v>
      </c>
      <c r="B76" s="2" t="s">
        <v>320</v>
      </c>
      <c r="C76" s="2" t="s">
        <v>321</v>
      </c>
      <c r="D76" s="2" t="s">
        <v>304</v>
      </c>
      <c r="E76" s="2" t="s">
        <v>322</v>
      </c>
      <c r="F76" s="4">
        <v>9.5</v>
      </c>
      <c r="G76" s="3">
        <v>36</v>
      </c>
      <c r="H76" s="3">
        <f t="shared" si="5"/>
        <v>25</v>
      </c>
      <c r="I76" s="97">
        <f t="shared" si="6"/>
        <v>0</v>
      </c>
      <c r="J76" s="98">
        <f t="shared" si="7"/>
        <v>342</v>
      </c>
      <c r="K76" s="99">
        <f t="shared" si="8"/>
        <v>72</v>
      </c>
      <c r="L76" s="99">
        <f t="shared" si="9"/>
        <v>414</v>
      </c>
    </row>
    <row r="77" spans="1:12">
      <c r="A77" s="1">
        <v>48</v>
      </c>
      <c r="B77" s="2" t="s">
        <v>323</v>
      </c>
      <c r="C77" s="2" t="s">
        <v>321</v>
      </c>
      <c r="D77" s="2" t="s">
        <v>304</v>
      </c>
      <c r="E77" s="2" t="s">
        <v>324</v>
      </c>
      <c r="F77" s="4">
        <v>12.75</v>
      </c>
      <c r="G77" s="3">
        <v>15</v>
      </c>
      <c r="H77" s="3">
        <f t="shared" si="5"/>
        <v>25</v>
      </c>
      <c r="I77" s="97">
        <f t="shared" si="6"/>
        <v>412.50000000000006</v>
      </c>
      <c r="J77" s="98">
        <f t="shared" si="7"/>
        <v>191.25</v>
      </c>
      <c r="K77" s="99">
        <f t="shared" si="8"/>
        <v>30</v>
      </c>
      <c r="L77" s="99">
        <f t="shared" si="9"/>
        <v>221.25</v>
      </c>
    </row>
    <row r="78" spans="1:12">
      <c r="A78" s="1">
        <v>49</v>
      </c>
      <c r="B78" s="2" t="s">
        <v>325</v>
      </c>
      <c r="C78" s="2" t="s">
        <v>177</v>
      </c>
      <c r="D78" s="2" t="s">
        <v>304</v>
      </c>
      <c r="E78" s="2" t="s">
        <v>326</v>
      </c>
      <c r="F78" s="4">
        <v>20</v>
      </c>
      <c r="G78" s="3">
        <v>10</v>
      </c>
      <c r="H78" s="3">
        <f t="shared" si="5"/>
        <v>25</v>
      </c>
      <c r="I78" s="97">
        <f t="shared" si="6"/>
        <v>275</v>
      </c>
      <c r="J78" s="98">
        <f t="shared" si="7"/>
        <v>200</v>
      </c>
      <c r="K78" s="99">
        <f t="shared" si="8"/>
        <v>20</v>
      </c>
      <c r="L78" s="99">
        <f t="shared" si="9"/>
        <v>220</v>
      </c>
    </row>
    <row r="79" spans="1:12">
      <c r="A79" s="1">
        <v>50</v>
      </c>
      <c r="B79" s="2" t="s">
        <v>327</v>
      </c>
      <c r="C79" s="2" t="s">
        <v>177</v>
      </c>
      <c r="D79" s="2" t="s">
        <v>304</v>
      </c>
      <c r="E79" s="2" t="s">
        <v>328</v>
      </c>
      <c r="F79" s="4">
        <v>16.25</v>
      </c>
      <c r="G79" s="3">
        <v>65</v>
      </c>
      <c r="H79" s="3">
        <f t="shared" si="5"/>
        <v>25</v>
      </c>
      <c r="I79" s="97">
        <f t="shared" si="6"/>
        <v>0</v>
      </c>
      <c r="J79" s="98">
        <f t="shared" si="7"/>
        <v>1056.25</v>
      </c>
      <c r="K79" s="99">
        <f t="shared" si="8"/>
        <v>130</v>
      </c>
      <c r="L79" s="99">
        <f t="shared" si="9"/>
        <v>1186.25</v>
      </c>
    </row>
    <row r="80" spans="1:12">
      <c r="A80" s="1">
        <v>62</v>
      </c>
      <c r="B80" s="2" t="s">
        <v>329</v>
      </c>
      <c r="C80" s="2" t="s">
        <v>214</v>
      </c>
      <c r="D80" s="2" t="s">
        <v>304</v>
      </c>
      <c r="E80" s="2" t="s">
        <v>330</v>
      </c>
      <c r="F80" s="4">
        <v>49.3</v>
      </c>
      <c r="G80" s="3">
        <v>17</v>
      </c>
      <c r="H80" s="3">
        <f t="shared" si="5"/>
        <v>25</v>
      </c>
      <c r="I80" s="97">
        <f t="shared" si="6"/>
        <v>467.50000000000006</v>
      </c>
      <c r="J80" s="98">
        <f t="shared" si="7"/>
        <v>838.09999999999991</v>
      </c>
      <c r="K80" s="99">
        <f t="shared" si="8"/>
        <v>34</v>
      </c>
      <c r="L80" s="99">
        <f t="shared" si="9"/>
        <v>872.09999999999991</v>
      </c>
    </row>
    <row r="81" spans="1:12">
      <c r="A81" s="1">
        <v>68</v>
      </c>
      <c r="B81" s="2" t="s">
        <v>331</v>
      </c>
      <c r="C81" s="2" t="s">
        <v>307</v>
      </c>
      <c r="D81" s="2" t="s">
        <v>304</v>
      </c>
      <c r="E81" s="2" t="s">
        <v>332</v>
      </c>
      <c r="F81" s="4">
        <v>12.5</v>
      </c>
      <c r="G81" s="3">
        <v>6</v>
      </c>
      <c r="H81" s="3">
        <f t="shared" si="5"/>
        <v>25</v>
      </c>
      <c r="I81" s="97">
        <f t="shared" si="6"/>
        <v>165</v>
      </c>
      <c r="J81" s="98">
        <f t="shared" si="7"/>
        <v>75</v>
      </c>
      <c r="K81" s="99">
        <f t="shared" si="8"/>
        <v>12</v>
      </c>
      <c r="L81" s="99">
        <f t="shared" si="9"/>
        <v>87</v>
      </c>
    </row>
    <row r="85" spans="1:12" ht="45.75">
      <c r="B85" s="21" t="s">
        <v>122</v>
      </c>
      <c r="C85" s="21" t="s">
        <v>144</v>
      </c>
      <c r="D85" s="21" t="s">
        <v>333</v>
      </c>
    </row>
    <row r="86" spans="1:12">
      <c r="B86" s="123" t="s">
        <v>151</v>
      </c>
      <c r="C86" s="124">
        <v>10</v>
      </c>
      <c r="D86" s="5">
        <v>1</v>
      </c>
    </row>
    <row r="87" spans="1:12">
      <c r="B87" s="123" t="s">
        <v>181</v>
      </c>
      <c r="C87" s="124">
        <v>20</v>
      </c>
      <c r="D87" s="5">
        <v>5</v>
      </c>
    </row>
    <row r="88" spans="1:12">
      <c r="B88" s="123" t="s">
        <v>196</v>
      </c>
      <c r="C88" s="124">
        <v>15</v>
      </c>
      <c r="D88" s="5">
        <v>1</v>
      </c>
    </row>
    <row r="89" spans="1:12">
      <c r="B89" s="123" t="s">
        <v>225</v>
      </c>
      <c r="C89" s="124">
        <v>10</v>
      </c>
      <c r="D89" s="5">
        <v>5</v>
      </c>
    </row>
    <row r="90" spans="1:12">
      <c r="B90" s="123" t="s">
        <v>237</v>
      </c>
      <c r="C90" s="124">
        <v>5</v>
      </c>
      <c r="D90" s="5">
        <v>3</v>
      </c>
    </row>
    <row r="91" spans="1:12">
      <c r="B91" s="123" t="s">
        <v>253</v>
      </c>
      <c r="C91" s="124">
        <v>10</v>
      </c>
      <c r="D91" s="5">
        <v>5</v>
      </c>
    </row>
    <row r="92" spans="1:12">
      <c r="B92" s="123" t="s">
        <v>274</v>
      </c>
      <c r="C92" s="124">
        <v>5</v>
      </c>
      <c r="D92" s="5">
        <v>5</v>
      </c>
    </row>
    <row r="93" spans="1:12">
      <c r="B93" s="123" t="s">
        <v>304</v>
      </c>
      <c r="C93" s="124">
        <v>25</v>
      </c>
      <c r="D93" s="5">
        <v>2</v>
      </c>
    </row>
    <row r="99" spans="1:3">
      <c r="B99" s="102" t="s">
        <v>140</v>
      </c>
      <c r="C99" s="102" t="s">
        <v>342</v>
      </c>
    </row>
    <row r="100" spans="1:3">
      <c r="A100" s="9">
        <v>41730</v>
      </c>
      <c r="B100" t="s">
        <v>162</v>
      </c>
      <c r="C100" s="101">
        <v>5807.5</v>
      </c>
    </row>
    <row r="101" spans="1:3">
      <c r="B101" t="s">
        <v>159</v>
      </c>
      <c r="C101" s="101">
        <v>2825</v>
      </c>
    </row>
    <row r="102" spans="1:3">
      <c r="B102" t="s">
        <v>252</v>
      </c>
      <c r="C102" s="101">
        <v>4270</v>
      </c>
    </row>
    <row r="103" spans="1:3">
      <c r="B103" t="s">
        <v>299</v>
      </c>
      <c r="C103" s="101">
        <v>1131.5</v>
      </c>
    </row>
    <row r="104" spans="1:3">
      <c r="B104" t="s">
        <v>150</v>
      </c>
      <c r="C104" s="101">
        <v>1224</v>
      </c>
    </row>
    <row r="105" spans="1:3">
      <c r="B105" t="s">
        <v>214</v>
      </c>
      <c r="C105" s="101">
        <v>4205.6000000000004</v>
      </c>
    </row>
    <row r="106" spans="1:3">
      <c r="B106" t="s">
        <v>258</v>
      </c>
      <c r="C106" s="101">
        <v>890.19999999999993</v>
      </c>
    </row>
    <row r="107" spans="1:3">
      <c r="B107" t="s">
        <v>266</v>
      </c>
      <c r="C107" s="101">
        <v>5481</v>
      </c>
    </row>
    <row r="108" spans="1:3">
      <c r="B108" t="s">
        <v>188</v>
      </c>
      <c r="C108" s="101">
        <v>1540</v>
      </c>
    </row>
    <row r="109" spans="1:3">
      <c r="B109" t="s">
        <v>204</v>
      </c>
      <c r="C109" s="101">
        <v>3891</v>
      </c>
    </row>
    <row r="110" spans="1:3">
      <c r="B110" t="s">
        <v>314</v>
      </c>
      <c r="C110" s="101">
        <v>3963.55</v>
      </c>
    </row>
    <row r="111" spans="1:3">
      <c r="B111" t="s">
        <v>177</v>
      </c>
      <c r="C111" s="101">
        <v>2489.25</v>
      </c>
    </row>
    <row r="112" spans="1:3">
      <c r="B112" t="s">
        <v>167</v>
      </c>
      <c r="C112" s="101">
        <v>1793.15</v>
      </c>
    </row>
    <row r="113" spans="2:3">
      <c r="B113" t="s">
        <v>294</v>
      </c>
      <c r="C113" s="101">
        <v>1687.5</v>
      </c>
    </row>
    <row r="114" spans="2:3">
      <c r="B114" t="s">
        <v>191</v>
      </c>
      <c r="C114" s="101">
        <v>3596.45</v>
      </c>
    </row>
    <row r="115" spans="2:3">
      <c r="B115" t="s">
        <v>209</v>
      </c>
      <c r="C115" s="101">
        <v>1896.25</v>
      </c>
    </row>
    <row r="116" spans="2:3">
      <c r="B116" t="s">
        <v>289</v>
      </c>
      <c r="C116" s="101">
        <v>4123.45</v>
      </c>
    </row>
    <row r="117" spans="2:3">
      <c r="B117" t="s">
        <v>199</v>
      </c>
      <c r="C117" s="101">
        <v>2966.8</v>
      </c>
    </row>
    <row r="118" spans="2:3">
      <c r="B118" t="s">
        <v>281</v>
      </c>
      <c r="C118" s="101">
        <v>308.89999999999998</v>
      </c>
    </row>
    <row r="119" spans="2:3">
      <c r="B119" t="s">
        <v>263</v>
      </c>
      <c r="C119" s="101">
        <v>2595</v>
      </c>
    </row>
    <row r="120" spans="2:3">
      <c r="B120" t="s">
        <v>246</v>
      </c>
      <c r="C120" s="101">
        <v>1671</v>
      </c>
    </row>
    <row r="121" spans="2:3">
      <c r="B121" t="s">
        <v>171</v>
      </c>
      <c r="C121" s="101">
        <v>4716.6500000000005</v>
      </c>
    </row>
    <row r="122" spans="2:3">
      <c r="B122" t="s">
        <v>236</v>
      </c>
      <c r="C122" s="101">
        <v>3228</v>
      </c>
    </row>
    <row r="123" spans="2:3">
      <c r="B123" t="s">
        <v>174</v>
      </c>
      <c r="C123" s="101">
        <v>3654.8500000000004</v>
      </c>
    </row>
    <row r="124" spans="2:3">
      <c r="B124" t="s">
        <v>156</v>
      </c>
      <c r="C124" s="101">
        <v>275</v>
      </c>
    </row>
    <row r="125" spans="2:3">
      <c r="B125" t="s">
        <v>307</v>
      </c>
      <c r="C125" s="101">
        <v>3723</v>
      </c>
    </row>
    <row r="126" spans="2:3">
      <c r="B126" t="s">
        <v>284</v>
      </c>
      <c r="C126" s="101">
        <v>5049</v>
      </c>
    </row>
    <row r="127" spans="2:3">
      <c r="B127" t="s">
        <v>180</v>
      </c>
      <c r="C127" s="101">
        <v>4134</v>
      </c>
    </row>
    <row r="128" spans="2:3">
      <c r="B128" t="s">
        <v>321</v>
      </c>
      <c r="C128" s="101">
        <v>635.25</v>
      </c>
    </row>
    <row r="129" spans="2:3">
      <c r="B129" s="102" t="s">
        <v>36</v>
      </c>
      <c r="C129" s="103">
        <v>83772.850000000006</v>
      </c>
    </row>
  </sheetData>
  <mergeCells count="1">
    <mergeCell ref="A1:L1"/>
  </mergeCells>
  <phoneticPr fontId="6" type="noConversion"/>
  <dataValidations count="1">
    <dataValidation type="whole" allowBlank="1" showInputMessage="1" showErrorMessage="1" error="El codigo no esta entre 1 y 80" prompt="Codigos entre 1 y 80" sqref="A5:A81" xr:uid="{E0168209-2942-4782-8DB3-07A4BC5F882A}">
      <formula1>1</formula1>
      <formula2>80</formula2>
    </dataValidation>
  </dataValidations>
  <pageMargins left="0.75" right="0.75" top="1" bottom="1" header="0" footer="0"/>
  <pageSetup paperSize="9" orientation="portrait" horizontalDpi="0" verticalDpi="0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32E5-7847-411B-9C18-AE503D635AFD}">
  <sheetPr>
    <tabColor indexed="15"/>
  </sheetPr>
  <dimension ref="A1:L100"/>
  <sheetViews>
    <sheetView workbookViewId="0"/>
  </sheetViews>
  <sheetFormatPr defaultColWidth="11.42578125" defaultRowHeight="12.75"/>
  <cols>
    <col min="1" max="1" width="11.42578125" customWidth="1"/>
    <col min="2" max="2" width="35.42578125" bestFit="1" customWidth="1"/>
    <col min="3" max="3" width="35.5703125" bestFit="1" customWidth="1"/>
    <col min="4" max="4" width="15.42578125" bestFit="1" customWidth="1"/>
    <col min="5" max="5" width="18.42578125" bestFit="1" customWidth="1"/>
    <col min="6" max="6" width="9.42578125" bestFit="1" customWidth="1"/>
    <col min="7" max="7" width="13.42578125" customWidth="1"/>
    <col min="8" max="8" width="14.140625" customWidth="1"/>
    <col min="9" max="9" width="9.42578125" customWidth="1"/>
    <col min="10" max="10" width="13.85546875" customWidth="1"/>
    <col min="11" max="11" width="21" customWidth="1"/>
    <col min="12" max="12" width="12.140625" customWidth="1"/>
  </cols>
  <sheetData>
    <row r="1" spans="1:12" ht="27.75">
      <c r="A1" s="70" t="s">
        <v>137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4" spans="1:12" ht="42.75" customHeight="1">
      <c r="A4" s="20" t="s">
        <v>138</v>
      </c>
      <c r="B4" s="20" t="s">
        <v>139</v>
      </c>
      <c r="C4" s="20" t="s">
        <v>140</v>
      </c>
      <c r="D4" s="20" t="s">
        <v>122</v>
      </c>
      <c r="E4" s="20" t="s">
        <v>141</v>
      </c>
      <c r="F4" s="20" t="s">
        <v>142</v>
      </c>
      <c r="G4" s="20" t="s">
        <v>143</v>
      </c>
      <c r="H4" s="20" t="s">
        <v>144</v>
      </c>
      <c r="I4" s="20" t="s">
        <v>145</v>
      </c>
      <c r="J4" s="20" t="s">
        <v>146</v>
      </c>
      <c r="K4" s="20" t="s">
        <v>147</v>
      </c>
      <c r="L4" s="20" t="s">
        <v>148</v>
      </c>
    </row>
    <row r="5" spans="1:12">
      <c r="A5" s="1">
        <v>1</v>
      </c>
      <c r="B5" s="2" t="s">
        <v>149</v>
      </c>
      <c r="C5" s="2" t="s">
        <v>150</v>
      </c>
      <c r="D5" s="2" t="s">
        <v>151</v>
      </c>
      <c r="E5" s="2" t="s">
        <v>152</v>
      </c>
      <c r="F5" s="4">
        <v>18</v>
      </c>
      <c r="G5" s="3">
        <v>39</v>
      </c>
      <c r="H5" s="3">
        <f>VLOOKUP(D5,$B$85:$D$93,2,0)</f>
        <v>10</v>
      </c>
      <c r="I5" s="97">
        <f>IF(G5=0,H5*3,IF(G5&lt;H5,(G5*H5)*1.1,0))</f>
        <v>0</v>
      </c>
      <c r="J5" s="98">
        <f>G5*F5</f>
        <v>702</v>
      </c>
      <c r="K5" s="99">
        <f>VLOOKUP(D5,$B$85:$D$93,3,0)*G5</f>
        <v>39</v>
      </c>
      <c r="L5" s="99">
        <f>J5+K5</f>
        <v>741</v>
      </c>
    </row>
    <row r="6" spans="1:12">
      <c r="A6" s="1">
        <v>2</v>
      </c>
      <c r="B6" s="2" t="s">
        <v>153</v>
      </c>
      <c r="C6" s="2" t="s">
        <v>150</v>
      </c>
      <c r="D6" s="2" t="s">
        <v>151</v>
      </c>
      <c r="E6" s="2" t="s">
        <v>154</v>
      </c>
      <c r="F6" s="4">
        <v>19</v>
      </c>
      <c r="G6" s="3">
        <v>17</v>
      </c>
      <c r="H6" s="3">
        <f t="shared" ref="H6:H69" si="0">VLOOKUP(D6,$B$85:$D$93,2,0)</f>
        <v>10</v>
      </c>
      <c r="I6" s="97">
        <f t="shared" ref="I6:I69" si="1">IF(G6=0,H6*3,IF(G6&lt;H6,(G6*H6)*1.1,0))</f>
        <v>0</v>
      </c>
      <c r="J6" s="98">
        <f t="shared" ref="J6:J69" si="2">G6*F6</f>
        <v>323</v>
      </c>
      <c r="K6" s="99">
        <f t="shared" ref="K6:K69" si="3">VLOOKUP(D6,$B$85:$D$93,3,0)*G6</f>
        <v>17</v>
      </c>
      <c r="L6" s="99">
        <f t="shared" ref="L6:L69" si="4">J6+K6</f>
        <v>340</v>
      </c>
    </row>
    <row r="7" spans="1:12">
      <c r="A7" s="1">
        <v>24</v>
      </c>
      <c r="B7" s="2" t="s">
        <v>155</v>
      </c>
      <c r="C7" s="2" t="s">
        <v>156</v>
      </c>
      <c r="D7" s="2" t="s">
        <v>151</v>
      </c>
      <c r="E7" s="2" t="s">
        <v>157</v>
      </c>
      <c r="F7" s="4">
        <v>4.5</v>
      </c>
      <c r="G7" s="3">
        <v>50</v>
      </c>
      <c r="H7" s="3">
        <f t="shared" si="0"/>
        <v>10</v>
      </c>
      <c r="I7" s="97">
        <f t="shared" si="1"/>
        <v>0</v>
      </c>
      <c r="J7" s="98">
        <f t="shared" si="2"/>
        <v>225</v>
      </c>
      <c r="K7" s="99">
        <f t="shared" si="3"/>
        <v>50</v>
      </c>
      <c r="L7" s="99">
        <f t="shared" si="4"/>
        <v>275</v>
      </c>
    </row>
    <row r="8" spans="1:12">
      <c r="A8" s="1">
        <v>34</v>
      </c>
      <c r="B8" s="2" t="s">
        <v>158</v>
      </c>
      <c r="C8" s="2" t="s">
        <v>159</v>
      </c>
      <c r="D8" s="2" t="s">
        <v>151</v>
      </c>
      <c r="E8" s="2" t="s">
        <v>154</v>
      </c>
      <c r="F8" s="4">
        <v>14</v>
      </c>
      <c r="G8" s="3">
        <v>111</v>
      </c>
      <c r="H8" s="3">
        <f t="shared" si="0"/>
        <v>10</v>
      </c>
      <c r="I8" s="97">
        <f t="shared" si="1"/>
        <v>0</v>
      </c>
      <c r="J8" s="98">
        <f t="shared" si="2"/>
        <v>1554</v>
      </c>
      <c r="K8" s="99">
        <f t="shared" si="3"/>
        <v>111</v>
      </c>
      <c r="L8" s="99">
        <f t="shared" si="4"/>
        <v>1665</v>
      </c>
    </row>
    <row r="9" spans="1:12">
      <c r="A9" s="1">
        <v>35</v>
      </c>
      <c r="B9" s="2" t="s">
        <v>160</v>
      </c>
      <c r="C9" s="2" t="s">
        <v>159</v>
      </c>
      <c r="D9" s="2" t="s">
        <v>151</v>
      </c>
      <c r="E9" s="2" t="s">
        <v>154</v>
      </c>
      <c r="F9" s="4">
        <v>18</v>
      </c>
      <c r="G9" s="3">
        <v>20</v>
      </c>
      <c r="H9" s="3">
        <f t="shared" si="0"/>
        <v>10</v>
      </c>
      <c r="I9" s="97">
        <f t="shared" si="1"/>
        <v>0</v>
      </c>
      <c r="J9" s="98">
        <f t="shared" si="2"/>
        <v>360</v>
      </c>
      <c r="K9" s="99">
        <f t="shared" si="3"/>
        <v>20</v>
      </c>
      <c r="L9" s="99">
        <f t="shared" si="4"/>
        <v>380</v>
      </c>
    </row>
    <row r="10" spans="1:12">
      <c r="A10" s="1">
        <v>38</v>
      </c>
      <c r="B10" s="2" t="s">
        <v>161</v>
      </c>
      <c r="C10" s="2" t="s">
        <v>162</v>
      </c>
      <c r="D10" s="2" t="s">
        <v>151</v>
      </c>
      <c r="E10" s="2" t="s">
        <v>163</v>
      </c>
      <c r="F10" s="4">
        <v>263.5</v>
      </c>
      <c r="G10" s="3">
        <v>17</v>
      </c>
      <c r="H10" s="3">
        <f t="shared" si="0"/>
        <v>10</v>
      </c>
      <c r="I10" s="97">
        <f t="shared" si="1"/>
        <v>0</v>
      </c>
      <c r="J10" s="98">
        <f t="shared" si="2"/>
        <v>4479.5</v>
      </c>
      <c r="K10" s="99">
        <f t="shared" si="3"/>
        <v>17</v>
      </c>
      <c r="L10" s="99">
        <f t="shared" si="4"/>
        <v>4496.5</v>
      </c>
    </row>
    <row r="11" spans="1:12">
      <c r="A11" s="1">
        <v>39</v>
      </c>
      <c r="B11" s="2" t="s">
        <v>164</v>
      </c>
      <c r="C11" s="2" t="s">
        <v>162</v>
      </c>
      <c r="D11" s="2" t="s">
        <v>151</v>
      </c>
      <c r="E11" s="2" t="s">
        <v>165</v>
      </c>
      <c r="F11" s="4">
        <v>18</v>
      </c>
      <c r="G11" s="3">
        <v>69</v>
      </c>
      <c r="H11" s="3">
        <f t="shared" si="0"/>
        <v>10</v>
      </c>
      <c r="I11" s="97">
        <f t="shared" si="1"/>
        <v>0</v>
      </c>
      <c r="J11" s="98">
        <f t="shared" si="2"/>
        <v>1242</v>
      </c>
      <c r="K11" s="99">
        <f t="shared" si="3"/>
        <v>69</v>
      </c>
      <c r="L11" s="99">
        <f t="shared" si="4"/>
        <v>1311</v>
      </c>
    </row>
    <row r="12" spans="1:12">
      <c r="A12" s="1">
        <v>43</v>
      </c>
      <c r="B12" s="2" t="s">
        <v>166</v>
      </c>
      <c r="C12" s="2" t="s">
        <v>167</v>
      </c>
      <c r="D12" s="2" t="s">
        <v>151</v>
      </c>
      <c r="E12" s="2" t="s">
        <v>168</v>
      </c>
      <c r="F12" s="4">
        <v>46</v>
      </c>
      <c r="G12" s="3">
        <v>17</v>
      </c>
      <c r="H12" s="3">
        <f t="shared" si="0"/>
        <v>10</v>
      </c>
      <c r="I12" s="97">
        <f t="shared" si="1"/>
        <v>0</v>
      </c>
      <c r="J12" s="98">
        <f t="shared" si="2"/>
        <v>782</v>
      </c>
      <c r="K12" s="99">
        <f t="shared" si="3"/>
        <v>17</v>
      </c>
      <c r="L12" s="99">
        <f t="shared" si="4"/>
        <v>799</v>
      </c>
    </row>
    <row r="13" spans="1:12">
      <c r="A13" s="1">
        <v>67</v>
      </c>
      <c r="B13" s="2" t="s">
        <v>169</v>
      </c>
      <c r="C13" s="2" t="s">
        <v>159</v>
      </c>
      <c r="D13" s="2" t="s">
        <v>151</v>
      </c>
      <c r="E13" s="2" t="s">
        <v>154</v>
      </c>
      <c r="F13" s="4">
        <v>14</v>
      </c>
      <c r="G13" s="3">
        <v>52</v>
      </c>
      <c r="H13" s="3">
        <f t="shared" si="0"/>
        <v>10</v>
      </c>
      <c r="I13" s="97">
        <f t="shared" si="1"/>
        <v>0</v>
      </c>
      <c r="J13" s="98">
        <f t="shared" si="2"/>
        <v>728</v>
      </c>
      <c r="K13" s="99">
        <f t="shared" si="3"/>
        <v>52</v>
      </c>
      <c r="L13" s="99">
        <f t="shared" si="4"/>
        <v>780</v>
      </c>
    </row>
    <row r="14" spans="1:12">
      <c r="A14" s="1">
        <v>70</v>
      </c>
      <c r="B14" s="2" t="s">
        <v>170</v>
      </c>
      <c r="C14" s="2" t="s">
        <v>171</v>
      </c>
      <c r="D14" s="2" t="s">
        <v>151</v>
      </c>
      <c r="E14" s="2" t="s">
        <v>172</v>
      </c>
      <c r="F14" s="4">
        <v>15</v>
      </c>
      <c r="G14" s="3">
        <v>15</v>
      </c>
      <c r="H14" s="3">
        <f t="shared" si="0"/>
        <v>10</v>
      </c>
      <c r="I14" s="97">
        <f t="shared" si="1"/>
        <v>0</v>
      </c>
      <c r="J14" s="98">
        <f t="shared" si="2"/>
        <v>225</v>
      </c>
      <c r="K14" s="99">
        <f t="shared" si="3"/>
        <v>15</v>
      </c>
      <c r="L14" s="99">
        <f t="shared" si="4"/>
        <v>240</v>
      </c>
    </row>
    <row r="15" spans="1:12">
      <c r="A15" s="1">
        <v>75</v>
      </c>
      <c r="B15" s="2" t="s">
        <v>173</v>
      </c>
      <c r="C15" s="2" t="s">
        <v>174</v>
      </c>
      <c r="D15" s="2" t="s">
        <v>151</v>
      </c>
      <c r="E15" s="2" t="s">
        <v>175</v>
      </c>
      <c r="F15" s="4">
        <v>7.75</v>
      </c>
      <c r="G15" s="3">
        <v>125</v>
      </c>
      <c r="H15" s="3">
        <f t="shared" si="0"/>
        <v>10</v>
      </c>
      <c r="I15" s="97">
        <f t="shared" si="1"/>
        <v>0</v>
      </c>
      <c r="J15" s="98">
        <f t="shared" si="2"/>
        <v>968.75</v>
      </c>
      <c r="K15" s="99">
        <f t="shared" si="3"/>
        <v>125</v>
      </c>
      <c r="L15" s="99">
        <f t="shared" si="4"/>
        <v>1093.75</v>
      </c>
    </row>
    <row r="16" spans="1:12">
      <c r="A16" s="1">
        <v>76</v>
      </c>
      <c r="B16" s="2" t="s">
        <v>176</v>
      </c>
      <c r="C16" s="2" t="s">
        <v>177</v>
      </c>
      <c r="D16" s="2" t="s">
        <v>151</v>
      </c>
      <c r="E16" s="2" t="s">
        <v>178</v>
      </c>
      <c r="F16" s="4">
        <v>18</v>
      </c>
      <c r="G16" s="3">
        <v>57</v>
      </c>
      <c r="H16" s="3">
        <f t="shared" si="0"/>
        <v>10</v>
      </c>
      <c r="I16" s="97">
        <f t="shared" si="1"/>
        <v>0</v>
      </c>
      <c r="J16" s="98">
        <f t="shared" si="2"/>
        <v>1026</v>
      </c>
      <c r="K16" s="99">
        <f t="shared" si="3"/>
        <v>57</v>
      </c>
      <c r="L16" s="99">
        <f t="shared" si="4"/>
        <v>1083</v>
      </c>
    </row>
    <row r="17" spans="1:12">
      <c r="A17" s="1">
        <v>9</v>
      </c>
      <c r="B17" s="2" t="s">
        <v>179</v>
      </c>
      <c r="C17" s="2" t="s">
        <v>180</v>
      </c>
      <c r="D17" s="2" t="s">
        <v>181</v>
      </c>
      <c r="E17" s="2" t="s">
        <v>182</v>
      </c>
      <c r="F17" s="4">
        <v>97</v>
      </c>
      <c r="G17" s="3">
        <v>29</v>
      </c>
      <c r="H17" s="3">
        <f t="shared" si="0"/>
        <v>20</v>
      </c>
      <c r="I17" s="97">
        <f t="shared" si="1"/>
        <v>0</v>
      </c>
      <c r="J17" s="98">
        <f t="shared" si="2"/>
        <v>2813</v>
      </c>
      <c r="K17" s="99">
        <f t="shared" si="3"/>
        <v>145</v>
      </c>
      <c r="L17" s="99">
        <f t="shared" si="4"/>
        <v>2958</v>
      </c>
    </row>
    <row r="18" spans="1:12">
      <c r="A18" s="1">
        <v>17</v>
      </c>
      <c r="B18" s="2" t="s">
        <v>183</v>
      </c>
      <c r="C18" s="2" t="s">
        <v>171</v>
      </c>
      <c r="D18" s="2" t="s">
        <v>181</v>
      </c>
      <c r="E18" s="2" t="s">
        <v>184</v>
      </c>
      <c r="F18" s="4">
        <v>39</v>
      </c>
      <c r="G18" s="3">
        <v>0</v>
      </c>
      <c r="H18" s="3">
        <f t="shared" si="0"/>
        <v>20</v>
      </c>
      <c r="I18" s="97">
        <f t="shared" si="1"/>
        <v>60</v>
      </c>
      <c r="J18" s="98">
        <f t="shared" si="2"/>
        <v>0</v>
      </c>
      <c r="K18" s="99">
        <f t="shared" si="3"/>
        <v>0</v>
      </c>
      <c r="L18" s="99">
        <f t="shared" si="4"/>
        <v>0</v>
      </c>
    </row>
    <row r="19" spans="1:12">
      <c r="A19" s="1">
        <v>29</v>
      </c>
      <c r="B19" s="2" t="s">
        <v>185</v>
      </c>
      <c r="C19" s="2" t="s">
        <v>174</v>
      </c>
      <c r="D19" s="2" t="s">
        <v>181</v>
      </c>
      <c r="E19" s="2" t="s">
        <v>186</v>
      </c>
      <c r="F19" s="4">
        <v>123.79</v>
      </c>
      <c r="G19" s="3">
        <v>0</v>
      </c>
      <c r="H19" s="3">
        <f t="shared" si="0"/>
        <v>20</v>
      </c>
      <c r="I19" s="97">
        <f t="shared" si="1"/>
        <v>60</v>
      </c>
      <c r="J19" s="98">
        <f t="shared" si="2"/>
        <v>0</v>
      </c>
      <c r="K19" s="99">
        <f t="shared" si="3"/>
        <v>0</v>
      </c>
      <c r="L19" s="99">
        <f t="shared" si="4"/>
        <v>0</v>
      </c>
    </row>
    <row r="20" spans="1:12">
      <c r="A20" s="1">
        <v>53</v>
      </c>
      <c r="B20" s="2" t="s">
        <v>187</v>
      </c>
      <c r="C20" s="2" t="s">
        <v>188</v>
      </c>
      <c r="D20" s="2" t="s">
        <v>181</v>
      </c>
      <c r="E20" s="2" t="s">
        <v>189</v>
      </c>
      <c r="F20" s="4">
        <v>32.799999999999997</v>
      </c>
      <c r="G20" s="3">
        <v>0</v>
      </c>
      <c r="H20" s="3">
        <f t="shared" si="0"/>
        <v>20</v>
      </c>
      <c r="I20" s="97">
        <f t="shared" si="1"/>
        <v>60</v>
      </c>
      <c r="J20" s="98">
        <f t="shared" si="2"/>
        <v>0</v>
      </c>
      <c r="K20" s="99">
        <f t="shared" si="3"/>
        <v>0</v>
      </c>
      <c r="L20" s="99">
        <f t="shared" si="4"/>
        <v>0</v>
      </c>
    </row>
    <row r="21" spans="1:12">
      <c r="A21" s="1">
        <v>54</v>
      </c>
      <c r="B21" s="2" t="s">
        <v>190</v>
      </c>
      <c r="C21" s="2" t="s">
        <v>191</v>
      </c>
      <c r="D21" s="2" t="s">
        <v>181</v>
      </c>
      <c r="E21" s="2" t="s">
        <v>192</v>
      </c>
      <c r="F21" s="4">
        <v>7.45</v>
      </c>
      <c r="G21" s="3">
        <v>21</v>
      </c>
      <c r="H21" s="3">
        <f t="shared" si="0"/>
        <v>20</v>
      </c>
      <c r="I21" s="97">
        <f t="shared" si="1"/>
        <v>0</v>
      </c>
      <c r="J21" s="98">
        <f t="shared" si="2"/>
        <v>156.45000000000002</v>
      </c>
      <c r="K21" s="99">
        <f t="shared" si="3"/>
        <v>105</v>
      </c>
      <c r="L21" s="99">
        <f t="shared" si="4"/>
        <v>261.45000000000005</v>
      </c>
    </row>
    <row r="22" spans="1:12">
      <c r="A22" s="1">
        <v>55</v>
      </c>
      <c r="B22" s="2" t="s">
        <v>193</v>
      </c>
      <c r="C22" s="2" t="s">
        <v>191</v>
      </c>
      <c r="D22" s="2" t="s">
        <v>181</v>
      </c>
      <c r="E22" s="2" t="s">
        <v>194</v>
      </c>
      <c r="F22" s="4">
        <v>24</v>
      </c>
      <c r="G22" s="3">
        <v>115</v>
      </c>
      <c r="H22" s="3">
        <f t="shared" si="0"/>
        <v>20</v>
      </c>
      <c r="I22" s="97">
        <f t="shared" si="1"/>
        <v>0</v>
      </c>
      <c r="J22" s="98">
        <f t="shared" si="2"/>
        <v>2760</v>
      </c>
      <c r="K22" s="99">
        <f t="shared" si="3"/>
        <v>575</v>
      </c>
      <c r="L22" s="99">
        <f t="shared" si="4"/>
        <v>3335</v>
      </c>
    </row>
    <row r="23" spans="1:12">
      <c r="A23" s="1">
        <v>3</v>
      </c>
      <c r="B23" s="2" t="s">
        <v>195</v>
      </c>
      <c r="C23" s="2" t="s">
        <v>150</v>
      </c>
      <c r="D23" s="2" t="s">
        <v>196</v>
      </c>
      <c r="E23" s="2" t="s">
        <v>197</v>
      </c>
      <c r="F23" s="4">
        <v>10</v>
      </c>
      <c r="G23" s="3">
        <v>13</v>
      </c>
      <c r="H23" s="3">
        <f t="shared" si="0"/>
        <v>15</v>
      </c>
      <c r="I23" s="97">
        <f t="shared" si="1"/>
        <v>214.50000000000003</v>
      </c>
      <c r="J23" s="98">
        <f t="shared" si="2"/>
        <v>130</v>
      </c>
      <c r="K23" s="99">
        <f t="shared" si="3"/>
        <v>13</v>
      </c>
      <c r="L23" s="99">
        <f t="shared" si="4"/>
        <v>143</v>
      </c>
    </row>
    <row r="24" spans="1:12">
      <c r="A24" s="1">
        <v>4</v>
      </c>
      <c r="B24" s="2" t="s">
        <v>198</v>
      </c>
      <c r="C24" s="2" t="s">
        <v>199</v>
      </c>
      <c r="D24" s="2" t="s">
        <v>196</v>
      </c>
      <c r="E24" s="2" t="s">
        <v>200</v>
      </c>
      <c r="F24" s="4">
        <v>22</v>
      </c>
      <c r="G24" s="3">
        <v>53</v>
      </c>
      <c r="H24" s="3">
        <f t="shared" si="0"/>
        <v>15</v>
      </c>
      <c r="I24" s="97">
        <f t="shared" si="1"/>
        <v>0</v>
      </c>
      <c r="J24" s="98">
        <f t="shared" si="2"/>
        <v>1166</v>
      </c>
      <c r="K24" s="99">
        <f t="shared" si="3"/>
        <v>53</v>
      </c>
      <c r="L24" s="99">
        <f t="shared" si="4"/>
        <v>1219</v>
      </c>
    </row>
    <row r="25" spans="1:12">
      <c r="A25" s="1">
        <v>5</v>
      </c>
      <c r="B25" s="2" t="s">
        <v>201</v>
      </c>
      <c r="C25" s="2" t="s">
        <v>199</v>
      </c>
      <c r="D25" s="2" t="s">
        <v>196</v>
      </c>
      <c r="E25" s="2" t="s">
        <v>202</v>
      </c>
      <c r="F25" s="4">
        <v>21.35</v>
      </c>
      <c r="G25" s="3">
        <v>0</v>
      </c>
      <c r="H25" s="3">
        <f t="shared" si="0"/>
        <v>15</v>
      </c>
      <c r="I25" s="97">
        <f t="shared" si="1"/>
        <v>45</v>
      </c>
      <c r="J25" s="98">
        <f t="shared" si="2"/>
        <v>0</v>
      </c>
      <c r="K25" s="99">
        <f t="shared" si="3"/>
        <v>0</v>
      </c>
      <c r="L25" s="99">
        <f t="shared" si="4"/>
        <v>0</v>
      </c>
    </row>
    <row r="26" spans="1:12">
      <c r="A26" s="1">
        <v>6</v>
      </c>
      <c r="B26" s="2" t="s">
        <v>203</v>
      </c>
      <c r="C26" s="2" t="s">
        <v>204</v>
      </c>
      <c r="D26" s="2" t="s">
        <v>196</v>
      </c>
      <c r="E26" s="2" t="s">
        <v>205</v>
      </c>
      <c r="F26" s="4">
        <v>25</v>
      </c>
      <c r="G26" s="3">
        <v>120</v>
      </c>
      <c r="H26" s="3">
        <f t="shared" si="0"/>
        <v>15</v>
      </c>
      <c r="I26" s="97">
        <f t="shared" si="1"/>
        <v>0</v>
      </c>
      <c r="J26" s="98">
        <f t="shared" si="2"/>
        <v>3000</v>
      </c>
      <c r="K26" s="99">
        <f t="shared" si="3"/>
        <v>120</v>
      </c>
      <c r="L26" s="99">
        <f t="shared" si="4"/>
        <v>3120</v>
      </c>
    </row>
    <row r="27" spans="1:12">
      <c r="A27" s="1">
        <v>8</v>
      </c>
      <c r="B27" s="2" t="s">
        <v>206</v>
      </c>
      <c r="C27" s="2" t="s">
        <v>204</v>
      </c>
      <c r="D27" s="2" t="s">
        <v>196</v>
      </c>
      <c r="E27" s="2" t="s">
        <v>207</v>
      </c>
      <c r="F27" s="4">
        <v>40</v>
      </c>
      <c r="G27" s="3">
        <v>6</v>
      </c>
      <c r="H27" s="3">
        <f t="shared" si="0"/>
        <v>15</v>
      </c>
      <c r="I27" s="97">
        <f t="shared" si="1"/>
        <v>99.000000000000014</v>
      </c>
      <c r="J27" s="98">
        <f t="shared" si="2"/>
        <v>240</v>
      </c>
      <c r="K27" s="99">
        <f t="shared" si="3"/>
        <v>6</v>
      </c>
      <c r="L27" s="99">
        <f t="shared" si="4"/>
        <v>246</v>
      </c>
    </row>
    <row r="28" spans="1:12">
      <c r="A28" s="1">
        <v>15</v>
      </c>
      <c r="B28" s="2" t="s">
        <v>208</v>
      </c>
      <c r="C28" s="2" t="s">
        <v>209</v>
      </c>
      <c r="D28" s="2" t="s">
        <v>196</v>
      </c>
      <c r="E28" s="2" t="s">
        <v>210</v>
      </c>
      <c r="F28" s="4">
        <v>15.5</v>
      </c>
      <c r="G28" s="3">
        <v>39</v>
      </c>
      <c r="H28" s="3">
        <f t="shared" si="0"/>
        <v>15</v>
      </c>
      <c r="I28" s="97">
        <f t="shared" si="1"/>
        <v>0</v>
      </c>
      <c r="J28" s="98">
        <f t="shared" si="2"/>
        <v>604.5</v>
      </c>
      <c r="K28" s="99">
        <f t="shared" si="3"/>
        <v>39</v>
      </c>
      <c r="L28" s="99">
        <f t="shared" si="4"/>
        <v>643.5</v>
      </c>
    </row>
    <row r="29" spans="1:12">
      <c r="A29" s="1">
        <v>44</v>
      </c>
      <c r="B29" s="2" t="s">
        <v>211</v>
      </c>
      <c r="C29" s="2" t="s">
        <v>167</v>
      </c>
      <c r="D29" s="2" t="s">
        <v>196</v>
      </c>
      <c r="E29" s="2" t="s">
        <v>212</v>
      </c>
      <c r="F29" s="4">
        <v>19.45</v>
      </c>
      <c r="G29" s="3">
        <v>27</v>
      </c>
      <c r="H29" s="3">
        <f t="shared" si="0"/>
        <v>15</v>
      </c>
      <c r="I29" s="97">
        <f t="shared" si="1"/>
        <v>0</v>
      </c>
      <c r="J29" s="98">
        <f t="shared" si="2"/>
        <v>525.15</v>
      </c>
      <c r="K29" s="99">
        <f t="shared" si="3"/>
        <v>27</v>
      </c>
      <c r="L29" s="99">
        <f t="shared" si="4"/>
        <v>552.15</v>
      </c>
    </row>
    <row r="30" spans="1:12">
      <c r="A30" s="1">
        <v>61</v>
      </c>
      <c r="B30" s="2" t="s">
        <v>213</v>
      </c>
      <c r="C30" s="2" t="s">
        <v>214</v>
      </c>
      <c r="D30" s="2" t="s">
        <v>196</v>
      </c>
      <c r="E30" s="2" t="s">
        <v>215</v>
      </c>
      <c r="F30" s="4">
        <v>28.5</v>
      </c>
      <c r="G30" s="3">
        <v>113</v>
      </c>
      <c r="H30" s="3">
        <f t="shared" si="0"/>
        <v>15</v>
      </c>
      <c r="I30" s="97">
        <f t="shared" si="1"/>
        <v>0</v>
      </c>
      <c r="J30" s="98">
        <f t="shared" si="2"/>
        <v>3220.5</v>
      </c>
      <c r="K30" s="99">
        <f t="shared" si="3"/>
        <v>113</v>
      </c>
      <c r="L30" s="99">
        <f t="shared" si="4"/>
        <v>3333.5</v>
      </c>
    </row>
    <row r="31" spans="1:12">
      <c r="A31" s="1">
        <v>63</v>
      </c>
      <c r="B31" s="2" t="s">
        <v>216</v>
      </c>
      <c r="C31" s="2" t="s">
        <v>171</v>
      </c>
      <c r="D31" s="2" t="s">
        <v>196</v>
      </c>
      <c r="E31" s="2" t="s">
        <v>217</v>
      </c>
      <c r="F31" s="4">
        <v>43.9</v>
      </c>
      <c r="G31" s="3">
        <v>24</v>
      </c>
      <c r="H31" s="3">
        <f t="shared" si="0"/>
        <v>15</v>
      </c>
      <c r="I31" s="97">
        <f t="shared" si="1"/>
        <v>0</v>
      </c>
      <c r="J31" s="98">
        <f t="shared" si="2"/>
        <v>1053.5999999999999</v>
      </c>
      <c r="K31" s="99">
        <f t="shared" si="3"/>
        <v>24</v>
      </c>
      <c r="L31" s="99">
        <f t="shared" si="4"/>
        <v>1077.5999999999999</v>
      </c>
    </row>
    <row r="32" spans="1:12">
      <c r="A32" s="1">
        <v>65</v>
      </c>
      <c r="B32" s="2" t="s">
        <v>218</v>
      </c>
      <c r="C32" s="2" t="s">
        <v>199</v>
      </c>
      <c r="D32" s="2" t="s">
        <v>196</v>
      </c>
      <c r="E32" s="2" t="s">
        <v>219</v>
      </c>
      <c r="F32" s="4">
        <v>21.05</v>
      </c>
      <c r="G32" s="3">
        <v>76</v>
      </c>
      <c r="H32" s="3">
        <f t="shared" si="0"/>
        <v>15</v>
      </c>
      <c r="I32" s="97">
        <f t="shared" si="1"/>
        <v>0</v>
      </c>
      <c r="J32" s="98">
        <f t="shared" si="2"/>
        <v>1599.8</v>
      </c>
      <c r="K32" s="99">
        <f t="shared" si="3"/>
        <v>76</v>
      </c>
      <c r="L32" s="99">
        <f t="shared" si="4"/>
        <v>1675.8</v>
      </c>
    </row>
    <row r="33" spans="1:12">
      <c r="A33" s="1">
        <v>66</v>
      </c>
      <c r="B33" s="2" t="s">
        <v>220</v>
      </c>
      <c r="C33" s="2" t="s">
        <v>199</v>
      </c>
      <c r="D33" s="2" t="s">
        <v>196</v>
      </c>
      <c r="E33" s="2" t="s">
        <v>221</v>
      </c>
      <c r="F33" s="4">
        <v>17</v>
      </c>
      <c r="G33" s="3">
        <v>4</v>
      </c>
      <c r="H33" s="3">
        <f t="shared" si="0"/>
        <v>15</v>
      </c>
      <c r="I33" s="97">
        <f t="shared" si="1"/>
        <v>66</v>
      </c>
      <c r="J33" s="98">
        <f t="shared" si="2"/>
        <v>68</v>
      </c>
      <c r="K33" s="99">
        <f t="shared" si="3"/>
        <v>4</v>
      </c>
      <c r="L33" s="99">
        <f t="shared" si="4"/>
        <v>72</v>
      </c>
    </row>
    <row r="34" spans="1:12">
      <c r="A34" s="1">
        <v>77</v>
      </c>
      <c r="B34" s="2" t="s">
        <v>222</v>
      </c>
      <c r="C34" s="2" t="s">
        <v>174</v>
      </c>
      <c r="D34" s="2" t="s">
        <v>196</v>
      </c>
      <c r="E34" s="2" t="s">
        <v>223</v>
      </c>
      <c r="F34" s="4">
        <v>13</v>
      </c>
      <c r="G34" s="3">
        <v>32</v>
      </c>
      <c r="H34" s="3">
        <f t="shared" si="0"/>
        <v>15</v>
      </c>
      <c r="I34" s="97">
        <f t="shared" si="1"/>
        <v>0</v>
      </c>
      <c r="J34" s="98">
        <f t="shared" si="2"/>
        <v>416</v>
      </c>
      <c r="K34" s="99">
        <f t="shared" si="3"/>
        <v>32</v>
      </c>
      <c r="L34" s="99">
        <f t="shared" si="4"/>
        <v>448</v>
      </c>
    </row>
    <row r="35" spans="1:12">
      <c r="A35" s="1">
        <v>7</v>
      </c>
      <c r="B35" s="2" t="s">
        <v>224</v>
      </c>
      <c r="C35" s="2" t="s">
        <v>204</v>
      </c>
      <c r="D35" s="2" t="s">
        <v>225</v>
      </c>
      <c r="E35" s="2" t="s">
        <v>226</v>
      </c>
      <c r="F35" s="4">
        <v>30</v>
      </c>
      <c r="G35" s="3">
        <v>15</v>
      </c>
      <c r="H35" s="3">
        <f t="shared" si="0"/>
        <v>10</v>
      </c>
      <c r="I35" s="97">
        <f t="shared" si="1"/>
        <v>0</v>
      </c>
      <c r="J35" s="98">
        <f t="shared" si="2"/>
        <v>450</v>
      </c>
      <c r="K35" s="99">
        <f t="shared" si="3"/>
        <v>75</v>
      </c>
      <c r="L35" s="99">
        <f t="shared" si="4"/>
        <v>525</v>
      </c>
    </row>
    <row r="36" spans="1:12">
      <c r="A36" s="1">
        <v>14</v>
      </c>
      <c r="B36" s="2" t="s">
        <v>227</v>
      </c>
      <c r="C36" s="2" t="s">
        <v>209</v>
      </c>
      <c r="D36" s="2" t="s">
        <v>225</v>
      </c>
      <c r="E36" s="2" t="s">
        <v>228</v>
      </c>
      <c r="F36" s="4">
        <v>23.25</v>
      </c>
      <c r="G36" s="3">
        <v>35</v>
      </c>
      <c r="H36" s="3">
        <f t="shared" si="0"/>
        <v>10</v>
      </c>
      <c r="I36" s="97">
        <f t="shared" si="1"/>
        <v>0</v>
      </c>
      <c r="J36" s="98">
        <f t="shared" si="2"/>
        <v>813.75</v>
      </c>
      <c r="K36" s="99">
        <f t="shared" si="3"/>
        <v>175</v>
      </c>
      <c r="L36" s="99">
        <f t="shared" si="4"/>
        <v>988.75</v>
      </c>
    </row>
    <row r="37" spans="1:12">
      <c r="A37" s="1">
        <v>28</v>
      </c>
      <c r="B37" s="2" t="s">
        <v>229</v>
      </c>
      <c r="C37" s="2" t="s">
        <v>174</v>
      </c>
      <c r="D37" s="2" t="s">
        <v>225</v>
      </c>
      <c r="E37" s="2" t="s">
        <v>230</v>
      </c>
      <c r="F37" s="4">
        <v>45.6</v>
      </c>
      <c r="G37" s="3">
        <v>26</v>
      </c>
      <c r="H37" s="3">
        <f t="shared" si="0"/>
        <v>10</v>
      </c>
      <c r="I37" s="97">
        <f t="shared" si="1"/>
        <v>0</v>
      </c>
      <c r="J37" s="98">
        <f t="shared" si="2"/>
        <v>1185.6000000000001</v>
      </c>
      <c r="K37" s="99">
        <f t="shared" si="3"/>
        <v>130</v>
      </c>
      <c r="L37" s="99">
        <f t="shared" si="4"/>
        <v>1315.6000000000001</v>
      </c>
    </row>
    <row r="38" spans="1:12">
      <c r="A38" s="1">
        <v>51</v>
      </c>
      <c r="B38" s="2" t="s">
        <v>231</v>
      </c>
      <c r="C38" s="2" t="s">
        <v>188</v>
      </c>
      <c r="D38" s="2" t="s">
        <v>225</v>
      </c>
      <c r="E38" s="2" t="s">
        <v>232</v>
      </c>
      <c r="F38" s="4">
        <v>53</v>
      </c>
      <c r="G38" s="3">
        <v>20</v>
      </c>
      <c r="H38" s="3">
        <f t="shared" si="0"/>
        <v>10</v>
      </c>
      <c r="I38" s="97">
        <f t="shared" si="1"/>
        <v>0</v>
      </c>
      <c r="J38" s="98">
        <f t="shared" si="2"/>
        <v>1060</v>
      </c>
      <c r="K38" s="99">
        <f t="shared" si="3"/>
        <v>100</v>
      </c>
      <c r="L38" s="99">
        <f t="shared" si="4"/>
        <v>1160</v>
      </c>
    </row>
    <row r="39" spans="1:12">
      <c r="A39" s="1">
        <v>74</v>
      </c>
      <c r="B39" s="2" t="s">
        <v>233</v>
      </c>
      <c r="C39" s="2" t="s">
        <v>180</v>
      </c>
      <c r="D39" s="2" t="s">
        <v>225</v>
      </c>
      <c r="E39" s="2" t="s">
        <v>234</v>
      </c>
      <c r="F39" s="4">
        <v>10</v>
      </c>
      <c r="G39" s="3">
        <v>4</v>
      </c>
      <c r="H39" s="3">
        <f t="shared" si="0"/>
        <v>10</v>
      </c>
      <c r="I39" s="97">
        <f t="shared" si="1"/>
        <v>44</v>
      </c>
      <c r="J39" s="98">
        <f t="shared" si="2"/>
        <v>40</v>
      </c>
      <c r="K39" s="99">
        <f t="shared" si="3"/>
        <v>20</v>
      </c>
      <c r="L39" s="99">
        <f t="shared" si="4"/>
        <v>60</v>
      </c>
    </row>
    <row r="40" spans="1:12">
      <c r="A40" s="1">
        <v>22</v>
      </c>
      <c r="B40" s="2" t="s">
        <v>235</v>
      </c>
      <c r="C40" s="2" t="s">
        <v>236</v>
      </c>
      <c r="D40" s="2" t="s">
        <v>237</v>
      </c>
      <c r="E40" s="2" t="s">
        <v>238</v>
      </c>
      <c r="F40" s="4">
        <v>21</v>
      </c>
      <c r="G40" s="3">
        <v>104</v>
      </c>
      <c r="H40" s="3">
        <f t="shared" si="0"/>
        <v>5</v>
      </c>
      <c r="I40" s="97">
        <f t="shared" si="1"/>
        <v>0</v>
      </c>
      <c r="J40" s="98">
        <f t="shared" si="2"/>
        <v>2184</v>
      </c>
      <c r="K40" s="99">
        <f t="shared" si="3"/>
        <v>312</v>
      </c>
      <c r="L40" s="99">
        <f t="shared" si="4"/>
        <v>2496</v>
      </c>
    </row>
    <row r="41" spans="1:12">
      <c r="A41" s="1">
        <v>23</v>
      </c>
      <c r="B41" s="2" t="s">
        <v>239</v>
      </c>
      <c r="C41" s="2" t="s">
        <v>236</v>
      </c>
      <c r="D41" s="2" t="s">
        <v>237</v>
      </c>
      <c r="E41" s="2" t="s">
        <v>240</v>
      </c>
      <c r="F41" s="4">
        <v>9</v>
      </c>
      <c r="G41" s="3">
        <v>61</v>
      </c>
      <c r="H41" s="3">
        <f t="shared" si="0"/>
        <v>5</v>
      </c>
      <c r="I41" s="97">
        <f t="shared" si="1"/>
        <v>0</v>
      </c>
      <c r="J41" s="98">
        <f t="shared" si="2"/>
        <v>549</v>
      </c>
      <c r="K41" s="99">
        <f t="shared" si="3"/>
        <v>183</v>
      </c>
      <c r="L41" s="99">
        <f t="shared" si="4"/>
        <v>732</v>
      </c>
    </row>
    <row r="42" spans="1:12">
      <c r="A42" s="1">
        <v>42</v>
      </c>
      <c r="B42" s="2" t="s">
        <v>241</v>
      </c>
      <c r="C42" s="2" t="s">
        <v>167</v>
      </c>
      <c r="D42" s="2" t="s">
        <v>237</v>
      </c>
      <c r="E42" s="2" t="s">
        <v>242</v>
      </c>
      <c r="F42" s="4">
        <v>14</v>
      </c>
      <c r="G42" s="3">
        <v>26</v>
      </c>
      <c r="H42" s="3">
        <f t="shared" si="0"/>
        <v>5</v>
      </c>
      <c r="I42" s="97">
        <f t="shared" si="1"/>
        <v>0</v>
      </c>
      <c r="J42" s="98">
        <f t="shared" si="2"/>
        <v>364</v>
      </c>
      <c r="K42" s="99">
        <f t="shared" si="3"/>
        <v>78</v>
      </c>
      <c r="L42" s="99">
        <f t="shared" si="4"/>
        <v>442</v>
      </c>
    </row>
    <row r="43" spans="1:12">
      <c r="A43" s="1">
        <v>52</v>
      </c>
      <c r="B43" s="2" t="s">
        <v>243</v>
      </c>
      <c r="C43" s="2" t="s">
        <v>188</v>
      </c>
      <c r="D43" s="2" t="s">
        <v>237</v>
      </c>
      <c r="E43" s="2" t="s">
        <v>244</v>
      </c>
      <c r="F43" s="4">
        <v>7</v>
      </c>
      <c r="G43" s="3">
        <v>38</v>
      </c>
      <c r="H43" s="3">
        <f t="shared" si="0"/>
        <v>5</v>
      </c>
      <c r="I43" s="97">
        <f t="shared" si="1"/>
        <v>0</v>
      </c>
      <c r="J43" s="98">
        <f t="shared" si="2"/>
        <v>266</v>
      </c>
      <c r="K43" s="99">
        <f t="shared" si="3"/>
        <v>114</v>
      </c>
      <c r="L43" s="99">
        <f t="shared" si="4"/>
        <v>380</v>
      </c>
    </row>
    <row r="44" spans="1:12">
      <c r="A44" s="1">
        <v>56</v>
      </c>
      <c r="B44" s="2" t="s">
        <v>245</v>
      </c>
      <c r="C44" s="2" t="s">
        <v>246</v>
      </c>
      <c r="D44" s="2" t="s">
        <v>237</v>
      </c>
      <c r="E44" s="2" t="s">
        <v>247</v>
      </c>
      <c r="F44" s="4">
        <v>38</v>
      </c>
      <c r="G44" s="3">
        <v>21</v>
      </c>
      <c r="H44" s="3">
        <f t="shared" si="0"/>
        <v>5</v>
      </c>
      <c r="I44" s="97">
        <f t="shared" si="1"/>
        <v>0</v>
      </c>
      <c r="J44" s="98">
        <f t="shared" si="2"/>
        <v>798</v>
      </c>
      <c r="K44" s="99">
        <f t="shared" si="3"/>
        <v>63</v>
      </c>
      <c r="L44" s="99">
        <f t="shared" si="4"/>
        <v>861</v>
      </c>
    </row>
    <row r="45" spans="1:12">
      <c r="A45" s="1">
        <v>57</v>
      </c>
      <c r="B45" s="2" t="s">
        <v>248</v>
      </c>
      <c r="C45" s="2" t="s">
        <v>246</v>
      </c>
      <c r="D45" s="2" t="s">
        <v>237</v>
      </c>
      <c r="E45" s="2" t="s">
        <v>247</v>
      </c>
      <c r="F45" s="4">
        <v>19.5</v>
      </c>
      <c r="G45" s="3">
        <v>36</v>
      </c>
      <c r="H45" s="3">
        <f t="shared" si="0"/>
        <v>5</v>
      </c>
      <c r="I45" s="97">
        <f t="shared" si="1"/>
        <v>0</v>
      </c>
      <c r="J45" s="98">
        <f t="shared" si="2"/>
        <v>702</v>
      </c>
      <c r="K45" s="99">
        <f t="shared" si="3"/>
        <v>108</v>
      </c>
      <c r="L45" s="99">
        <f t="shared" si="4"/>
        <v>810</v>
      </c>
    </row>
    <row r="46" spans="1:12">
      <c r="A46" s="1">
        <v>64</v>
      </c>
      <c r="B46" s="2" t="s">
        <v>249</v>
      </c>
      <c r="C46" s="2" t="s">
        <v>174</v>
      </c>
      <c r="D46" s="2" t="s">
        <v>237</v>
      </c>
      <c r="E46" s="2" t="s">
        <v>250</v>
      </c>
      <c r="F46" s="4">
        <v>33.25</v>
      </c>
      <c r="G46" s="3">
        <v>22</v>
      </c>
      <c r="H46" s="3">
        <f t="shared" si="0"/>
        <v>5</v>
      </c>
      <c r="I46" s="97">
        <f t="shared" si="1"/>
        <v>0</v>
      </c>
      <c r="J46" s="98">
        <f t="shared" si="2"/>
        <v>731.5</v>
      </c>
      <c r="K46" s="99">
        <f t="shared" si="3"/>
        <v>66</v>
      </c>
      <c r="L46" s="99">
        <f t="shared" si="4"/>
        <v>797.5</v>
      </c>
    </row>
    <row r="47" spans="1:12">
      <c r="A47" s="1">
        <v>11</v>
      </c>
      <c r="B47" s="2" t="s">
        <v>251</v>
      </c>
      <c r="C47" s="2" t="s">
        <v>252</v>
      </c>
      <c r="D47" s="2" t="s">
        <v>253</v>
      </c>
      <c r="E47" s="2" t="s">
        <v>254</v>
      </c>
      <c r="F47" s="4">
        <v>21</v>
      </c>
      <c r="G47" s="3">
        <v>22</v>
      </c>
      <c r="H47" s="3">
        <f t="shared" si="0"/>
        <v>10</v>
      </c>
      <c r="I47" s="97">
        <f t="shared" si="1"/>
        <v>0</v>
      </c>
      <c r="J47" s="98">
        <f t="shared" si="2"/>
        <v>462</v>
      </c>
      <c r="K47" s="99">
        <f t="shared" si="3"/>
        <v>110</v>
      </c>
      <c r="L47" s="99">
        <f t="shared" si="4"/>
        <v>572</v>
      </c>
    </row>
    <row r="48" spans="1:12">
      <c r="A48" s="1">
        <v>12</v>
      </c>
      <c r="B48" s="2" t="s">
        <v>255</v>
      </c>
      <c r="C48" s="2" t="s">
        <v>252</v>
      </c>
      <c r="D48" s="2" t="s">
        <v>253</v>
      </c>
      <c r="E48" s="2" t="s">
        <v>256</v>
      </c>
      <c r="F48" s="4">
        <v>38</v>
      </c>
      <c r="G48" s="3">
        <v>86</v>
      </c>
      <c r="H48" s="3">
        <f t="shared" si="0"/>
        <v>10</v>
      </c>
      <c r="I48" s="97">
        <f t="shared" si="1"/>
        <v>0</v>
      </c>
      <c r="J48" s="98">
        <f t="shared" si="2"/>
        <v>3268</v>
      </c>
      <c r="K48" s="99">
        <f t="shared" si="3"/>
        <v>430</v>
      </c>
      <c r="L48" s="99">
        <f t="shared" si="4"/>
        <v>3698</v>
      </c>
    </row>
    <row r="49" spans="1:12">
      <c r="A49" s="1">
        <v>31</v>
      </c>
      <c r="B49" s="2" t="s">
        <v>257</v>
      </c>
      <c r="C49" s="2" t="s">
        <v>258</v>
      </c>
      <c r="D49" s="2" t="s">
        <v>253</v>
      </c>
      <c r="E49" s="2" t="s">
        <v>259</v>
      </c>
      <c r="F49" s="4">
        <v>12.5</v>
      </c>
      <c r="G49" s="3">
        <v>0</v>
      </c>
      <c r="H49" s="3">
        <f t="shared" si="0"/>
        <v>10</v>
      </c>
      <c r="I49" s="97">
        <f t="shared" si="1"/>
        <v>30</v>
      </c>
      <c r="J49" s="98">
        <f t="shared" si="2"/>
        <v>0</v>
      </c>
      <c r="K49" s="99">
        <f t="shared" si="3"/>
        <v>0</v>
      </c>
      <c r="L49" s="99">
        <f t="shared" si="4"/>
        <v>0</v>
      </c>
    </row>
    <row r="50" spans="1:12">
      <c r="A50" s="1">
        <v>32</v>
      </c>
      <c r="B50" s="2" t="s">
        <v>260</v>
      </c>
      <c r="C50" s="2" t="s">
        <v>258</v>
      </c>
      <c r="D50" s="2" t="s">
        <v>253</v>
      </c>
      <c r="E50" s="2" t="s">
        <v>261</v>
      </c>
      <c r="F50" s="4">
        <v>32</v>
      </c>
      <c r="G50" s="3">
        <v>9</v>
      </c>
      <c r="H50" s="3">
        <f t="shared" si="0"/>
        <v>10</v>
      </c>
      <c r="I50" s="97">
        <f t="shared" si="1"/>
        <v>99.000000000000014</v>
      </c>
      <c r="J50" s="98">
        <f t="shared" si="2"/>
        <v>288</v>
      </c>
      <c r="K50" s="99">
        <f t="shared" si="3"/>
        <v>45</v>
      </c>
      <c r="L50" s="99">
        <f t="shared" si="4"/>
        <v>333</v>
      </c>
    </row>
    <row r="51" spans="1:12">
      <c r="A51" s="1">
        <v>33</v>
      </c>
      <c r="B51" s="2" t="s">
        <v>262</v>
      </c>
      <c r="C51" s="2" t="s">
        <v>263</v>
      </c>
      <c r="D51" s="2" t="s">
        <v>253</v>
      </c>
      <c r="E51" s="2" t="s">
        <v>264</v>
      </c>
      <c r="F51" s="4">
        <v>2.5</v>
      </c>
      <c r="G51" s="3">
        <v>112</v>
      </c>
      <c r="H51" s="3">
        <f t="shared" si="0"/>
        <v>10</v>
      </c>
      <c r="I51" s="97">
        <f t="shared" si="1"/>
        <v>0</v>
      </c>
      <c r="J51" s="98">
        <f t="shared" si="2"/>
        <v>280</v>
      </c>
      <c r="K51" s="99">
        <f t="shared" si="3"/>
        <v>560</v>
      </c>
      <c r="L51" s="99">
        <f t="shared" si="4"/>
        <v>840</v>
      </c>
    </row>
    <row r="52" spans="1:12">
      <c r="A52" s="1">
        <v>59</v>
      </c>
      <c r="B52" s="2" t="s">
        <v>265</v>
      </c>
      <c r="C52" s="2" t="s">
        <v>266</v>
      </c>
      <c r="D52" s="2" t="s">
        <v>253</v>
      </c>
      <c r="E52" s="2" t="s">
        <v>234</v>
      </c>
      <c r="F52" s="4">
        <v>55</v>
      </c>
      <c r="G52" s="3">
        <v>79</v>
      </c>
      <c r="H52" s="3">
        <f t="shared" si="0"/>
        <v>10</v>
      </c>
      <c r="I52" s="97">
        <f t="shared" si="1"/>
        <v>0</v>
      </c>
      <c r="J52" s="98">
        <f t="shared" si="2"/>
        <v>4345</v>
      </c>
      <c r="K52" s="99">
        <f t="shared" si="3"/>
        <v>395</v>
      </c>
      <c r="L52" s="99">
        <f t="shared" si="4"/>
        <v>4740</v>
      </c>
    </row>
    <row r="53" spans="1:12">
      <c r="A53" s="1">
        <v>60</v>
      </c>
      <c r="B53" s="2" t="s">
        <v>267</v>
      </c>
      <c r="C53" s="2" t="s">
        <v>266</v>
      </c>
      <c r="D53" s="2" t="s">
        <v>253</v>
      </c>
      <c r="E53" s="2" t="s">
        <v>268</v>
      </c>
      <c r="F53" s="4">
        <v>34</v>
      </c>
      <c r="G53" s="3">
        <v>19</v>
      </c>
      <c r="H53" s="3">
        <f t="shared" si="0"/>
        <v>10</v>
      </c>
      <c r="I53" s="97">
        <f t="shared" si="1"/>
        <v>0</v>
      </c>
      <c r="J53" s="98">
        <f t="shared" si="2"/>
        <v>646</v>
      </c>
      <c r="K53" s="99">
        <f t="shared" si="3"/>
        <v>95</v>
      </c>
      <c r="L53" s="99">
        <f t="shared" si="4"/>
        <v>741</v>
      </c>
    </row>
    <row r="54" spans="1:12">
      <c r="A54" s="1">
        <v>69</v>
      </c>
      <c r="B54" s="2" t="s">
        <v>269</v>
      </c>
      <c r="C54" s="2" t="s">
        <v>263</v>
      </c>
      <c r="D54" s="2" t="s">
        <v>253</v>
      </c>
      <c r="E54" s="2" t="s">
        <v>270</v>
      </c>
      <c r="F54" s="4">
        <v>36</v>
      </c>
      <c r="G54" s="3">
        <v>26</v>
      </c>
      <c r="H54" s="3">
        <f t="shared" si="0"/>
        <v>10</v>
      </c>
      <c r="I54" s="97">
        <f t="shared" si="1"/>
        <v>0</v>
      </c>
      <c r="J54" s="98">
        <f t="shared" si="2"/>
        <v>936</v>
      </c>
      <c r="K54" s="99">
        <f t="shared" si="3"/>
        <v>130</v>
      </c>
      <c r="L54" s="99">
        <f t="shared" si="4"/>
        <v>1066</v>
      </c>
    </row>
    <row r="55" spans="1:12">
      <c r="A55" s="1">
        <v>71</v>
      </c>
      <c r="B55" s="2" t="s">
        <v>271</v>
      </c>
      <c r="C55" s="2" t="s">
        <v>263</v>
      </c>
      <c r="D55" s="2" t="s">
        <v>253</v>
      </c>
      <c r="E55" s="2" t="s">
        <v>256</v>
      </c>
      <c r="F55" s="4">
        <v>21.5</v>
      </c>
      <c r="G55" s="3">
        <v>26</v>
      </c>
      <c r="H55" s="3">
        <f t="shared" si="0"/>
        <v>10</v>
      </c>
      <c r="I55" s="97">
        <f t="shared" si="1"/>
        <v>0</v>
      </c>
      <c r="J55" s="98">
        <f t="shared" si="2"/>
        <v>559</v>
      </c>
      <c r="K55" s="99">
        <f t="shared" si="3"/>
        <v>130</v>
      </c>
      <c r="L55" s="99">
        <f t="shared" si="4"/>
        <v>689</v>
      </c>
    </row>
    <row r="56" spans="1:12">
      <c r="A56" s="1">
        <v>72</v>
      </c>
      <c r="B56" s="2" t="s">
        <v>272</v>
      </c>
      <c r="C56" s="2" t="s">
        <v>258</v>
      </c>
      <c r="D56" s="2" t="s">
        <v>253</v>
      </c>
      <c r="E56" s="2" t="s">
        <v>261</v>
      </c>
      <c r="F56" s="4">
        <v>34.799999999999997</v>
      </c>
      <c r="G56" s="3">
        <v>14</v>
      </c>
      <c r="H56" s="3">
        <f t="shared" si="0"/>
        <v>10</v>
      </c>
      <c r="I56" s="97">
        <f t="shared" si="1"/>
        <v>0</v>
      </c>
      <c r="J56" s="98">
        <f t="shared" si="2"/>
        <v>487.19999999999993</v>
      </c>
      <c r="K56" s="99">
        <f t="shared" si="3"/>
        <v>70</v>
      </c>
      <c r="L56" s="99">
        <f t="shared" si="4"/>
        <v>557.19999999999993</v>
      </c>
    </row>
    <row r="57" spans="1:12">
      <c r="A57" s="1">
        <v>10</v>
      </c>
      <c r="B57" s="2" t="s">
        <v>273</v>
      </c>
      <c r="C57" s="2" t="s">
        <v>180</v>
      </c>
      <c r="D57" s="2" t="s">
        <v>274</v>
      </c>
      <c r="E57" s="2" t="s">
        <v>275</v>
      </c>
      <c r="F57" s="4">
        <v>31</v>
      </c>
      <c r="G57" s="3">
        <v>31</v>
      </c>
      <c r="H57" s="3">
        <f t="shared" si="0"/>
        <v>5</v>
      </c>
      <c r="I57" s="97">
        <f t="shared" si="1"/>
        <v>0</v>
      </c>
      <c r="J57" s="98">
        <f t="shared" si="2"/>
        <v>961</v>
      </c>
      <c r="K57" s="99">
        <f t="shared" si="3"/>
        <v>155</v>
      </c>
      <c r="L57" s="99">
        <f t="shared" si="4"/>
        <v>1116</v>
      </c>
    </row>
    <row r="58" spans="1:12">
      <c r="A58" s="1">
        <v>13</v>
      </c>
      <c r="B58" s="2" t="s">
        <v>276</v>
      </c>
      <c r="C58" s="2" t="s">
        <v>209</v>
      </c>
      <c r="D58" s="2" t="s">
        <v>274</v>
      </c>
      <c r="E58" s="2" t="s">
        <v>277</v>
      </c>
      <c r="F58" s="4">
        <v>6</v>
      </c>
      <c r="G58" s="3">
        <v>24</v>
      </c>
      <c r="H58" s="3">
        <f t="shared" si="0"/>
        <v>5</v>
      </c>
      <c r="I58" s="97">
        <f t="shared" si="1"/>
        <v>0</v>
      </c>
      <c r="J58" s="98">
        <f t="shared" si="2"/>
        <v>144</v>
      </c>
      <c r="K58" s="99">
        <f t="shared" si="3"/>
        <v>120</v>
      </c>
      <c r="L58" s="99">
        <f t="shared" si="4"/>
        <v>264</v>
      </c>
    </row>
    <row r="59" spans="1:12">
      <c r="A59" s="1">
        <v>18</v>
      </c>
      <c r="B59" s="2" t="s">
        <v>278</v>
      </c>
      <c r="C59" s="2" t="s">
        <v>171</v>
      </c>
      <c r="D59" s="2" t="s">
        <v>274</v>
      </c>
      <c r="E59" s="2" t="s">
        <v>279</v>
      </c>
      <c r="F59" s="4">
        <v>62.5</v>
      </c>
      <c r="G59" s="3">
        <v>42</v>
      </c>
      <c r="H59" s="3">
        <f t="shared" si="0"/>
        <v>5</v>
      </c>
      <c r="I59" s="97">
        <f t="shared" si="1"/>
        <v>0</v>
      </c>
      <c r="J59" s="98">
        <f t="shared" si="2"/>
        <v>2625</v>
      </c>
      <c r="K59" s="99">
        <f t="shared" si="3"/>
        <v>210</v>
      </c>
      <c r="L59" s="99">
        <f t="shared" si="4"/>
        <v>2835</v>
      </c>
    </row>
    <row r="60" spans="1:12">
      <c r="A60" s="1">
        <v>30</v>
      </c>
      <c r="B60" s="2" t="s">
        <v>280</v>
      </c>
      <c r="C60" s="2" t="s">
        <v>281</v>
      </c>
      <c r="D60" s="2" t="s">
        <v>274</v>
      </c>
      <c r="E60" s="2" t="s">
        <v>282</v>
      </c>
      <c r="F60" s="4">
        <v>25.89</v>
      </c>
      <c r="G60" s="3">
        <v>10</v>
      </c>
      <c r="H60" s="3">
        <f t="shared" si="0"/>
        <v>5</v>
      </c>
      <c r="I60" s="97">
        <f t="shared" si="1"/>
        <v>0</v>
      </c>
      <c r="J60" s="98">
        <f t="shared" si="2"/>
        <v>258.89999999999998</v>
      </c>
      <c r="K60" s="99">
        <f t="shared" si="3"/>
        <v>50</v>
      </c>
      <c r="L60" s="99">
        <f t="shared" si="4"/>
        <v>308.89999999999998</v>
      </c>
    </row>
    <row r="61" spans="1:12">
      <c r="A61" s="1">
        <v>36</v>
      </c>
      <c r="B61" s="2" t="s">
        <v>283</v>
      </c>
      <c r="C61" s="2" t="s">
        <v>284</v>
      </c>
      <c r="D61" s="2" t="s">
        <v>274</v>
      </c>
      <c r="E61" s="2" t="s">
        <v>285</v>
      </c>
      <c r="F61" s="4">
        <v>19</v>
      </c>
      <c r="G61" s="3">
        <v>112</v>
      </c>
      <c r="H61" s="3">
        <f t="shared" si="0"/>
        <v>5</v>
      </c>
      <c r="I61" s="97">
        <f t="shared" si="1"/>
        <v>0</v>
      </c>
      <c r="J61" s="98">
        <f t="shared" si="2"/>
        <v>2128</v>
      </c>
      <c r="K61" s="99">
        <f t="shared" si="3"/>
        <v>560</v>
      </c>
      <c r="L61" s="99">
        <f t="shared" si="4"/>
        <v>2688</v>
      </c>
    </row>
    <row r="62" spans="1:12">
      <c r="A62" s="1">
        <v>37</v>
      </c>
      <c r="B62" s="2" t="s">
        <v>286</v>
      </c>
      <c r="C62" s="2" t="s">
        <v>284</v>
      </c>
      <c r="D62" s="2" t="s">
        <v>274</v>
      </c>
      <c r="E62" s="2" t="s">
        <v>287</v>
      </c>
      <c r="F62" s="4">
        <v>26</v>
      </c>
      <c r="G62" s="3">
        <v>11</v>
      </c>
      <c r="H62" s="3">
        <f t="shared" si="0"/>
        <v>5</v>
      </c>
      <c r="I62" s="97">
        <f t="shared" si="1"/>
        <v>0</v>
      </c>
      <c r="J62" s="98">
        <f t="shared" si="2"/>
        <v>286</v>
      </c>
      <c r="K62" s="99">
        <f t="shared" si="3"/>
        <v>55</v>
      </c>
      <c r="L62" s="99">
        <f t="shared" si="4"/>
        <v>341</v>
      </c>
    </row>
    <row r="63" spans="1:12">
      <c r="A63" s="1">
        <v>40</v>
      </c>
      <c r="B63" s="2" t="s">
        <v>288</v>
      </c>
      <c r="C63" s="2" t="s">
        <v>289</v>
      </c>
      <c r="D63" s="2" t="s">
        <v>274</v>
      </c>
      <c r="E63" s="2" t="s">
        <v>290</v>
      </c>
      <c r="F63" s="4">
        <v>18.399999999999999</v>
      </c>
      <c r="G63" s="3">
        <v>123</v>
      </c>
      <c r="H63" s="3">
        <f t="shared" si="0"/>
        <v>5</v>
      </c>
      <c r="I63" s="97">
        <f t="shared" si="1"/>
        <v>0</v>
      </c>
      <c r="J63" s="98">
        <f t="shared" si="2"/>
        <v>2263.1999999999998</v>
      </c>
      <c r="K63" s="99">
        <f t="shared" si="3"/>
        <v>615</v>
      </c>
      <c r="L63" s="99">
        <f t="shared" si="4"/>
        <v>2878.2</v>
      </c>
    </row>
    <row r="64" spans="1:12">
      <c r="A64" s="1">
        <v>41</v>
      </c>
      <c r="B64" s="2" t="s">
        <v>291</v>
      </c>
      <c r="C64" s="2" t="s">
        <v>289</v>
      </c>
      <c r="D64" s="2" t="s">
        <v>274</v>
      </c>
      <c r="E64" s="2" t="s">
        <v>292</v>
      </c>
      <c r="F64" s="4">
        <v>9.65</v>
      </c>
      <c r="G64" s="3">
        <v>85</v>
      </c>
      <c r="H64" s="3">
        <f t="shared" si="0"/>
        <v>5</v>
      </c>
      <c r="I64" s="97">
        <f t="shared" si="1"/>
        <v>0</v>
      </c>
      <c r="J64" s="98">
        <f t="shared" si="2"/>
        <v>820.25</v>
      </c>
      <c r="K64" s="99">
        <f t="shared" si="3"/>
        <v>425</v>
      </c>
      <c r="L64" s="99">
        <f t="shared" si="4"/>
        <v>1245.25</v>
      </c>
    </row>
    <row r="65" spans="1:12">
      <c r="A65" s="1">
        <v>45</v>
      </c>
      <c r="B65" s="2" t="s">
        <v>293</v>
      </c>
      <c r="C65" s="2" t="s">
        <v>294</v>
      </c>
      <c r="D65" s="2" t="s">
        <v>274</v>
      </c>
      <c r="E65" s="2" t="s">
        <v>295</v>
      </c>
      <c r="F65" s="4">
        <v>9.5</v>
      </c>
      <c r="G65" s="3">
        <v>5</v>
      </c>
      <c r="H65" s="3">
        <f t="shared" si="0"/>
        <v>5</v>
      </c>
      <c r="I65" s="97">
        <f t="shared" si="1"/>
        <v>0</v>
      </c>
      <c r="J65" s="98">
        <f t="shared" si="2"/>
        <v>47.5</v>
      </c>
      <c r="K65" s="99">
        <f t="shared" si="3"/>
        <v>25</v>
      </c>
      <c r="L65" s="99">
        <f t="shared" si="4"/>
        <v>72.5</v>
      </c>
    </row>
    <row r="66" spans="1:12">
      <c r="A66" s="1">
        <v>46</v>
      </c>
      <c r="B66" s="2" t="s">
        <v>296</v>
      </c>
      <c r="C66" s="2" t="s">
        <v>294</v>
      </c>
      <c r="D66" s="2" t="s">
        <v>274</v>
      </c>
      <c r="E66" s="2" t="s">
        <v>297</v>
      </c>
      <c r="F66" s="4">
        <v>12</v>
      </c>
      <c r="G66" s="3">
        <v>95</v>
      </c>
      <c r="H66" s="3">
        <f t="shared" si="0"/>
        <v>5</v>
      </c>
      <c r="I66" s="97">
        <f t="shared" si="1"/>
        <v>0</v>
      </c>
      <c r="J66" s="98">
        <f t="shared" si="2"/>
        <v>1140</v>
      </c>
      <c r="K66" s="99">
        <f t="shared" si="3"/>
        <v>475</v>
      </c>
      <c r="L66" s="99">
        <f t="shared" si="4"/>
        <v>1615</v>
      </c>
    </row>
    <row r="67" spans="1:12">
      <c r="A67" s="1">
        <v>58</v>
      </c>
      <c r="B67" s="2" t="s">
        <v>298</v>
      </c>
      <c r="C67" s="2" t="s">
        <v>299</v>
      </c>
      <c r="D67" s="2" t="s">
        <v>274</v>
      </c>
      <c r="E67" s="2" t="s">
        <v>300</v>
      </c>
      <c r="F67" s="4">
        <v>13.25</v>
      </c>
      <c r="G67" s="3">
        <v>62</v>
      </c>
      <c r="H67" s="3">
        <f t="shared" si="0"/>
        <v>5</v>
      </c>
      <c r="I67" s="97">
        <f t="shared" si="1"/>
        <v>0</v>
      </c>
      <c r="J67" s="98">
        <f t="shared" si="2"/>
        <v>821.5</v>
      </c>
      <c r="K67" s="99">
        <f t="shared" si="3"/>
        <v>310</v>
      </c>
      <c r="L67" s="99">
        <f t="shared" si="4"/>
        <v>1131.5</v>
      </c>
    </row>
    <row r="68" spans="1:12">
      <c r="A68" s="1">
        <v>73</v>
      </c>
      <c r="B68" s="2" t="s">
        <v>301</v>
      </c>
      <c r="C68" s="2" t="s">
        <v>284</v>
      </c>
      <c r="D68" s="2" t="s">
        <v>274</v>
      </c>
      <c r="E68" s="2" t="s">
        <v>302</v>
      </c>
      <c r="F68" s="4">
        <v>15</v>
      </c>
      <c r="G68" s="3">
        <v>101</v>
      </c>
      <c r="H68" s="3">
        <f t="shared" si="0"/>
        <v>5</v>
      </c>
      <c r="I68" s="97">
        <f t="shared" si="1"/>
        <v>0</v>
      </c>
      <c r="J68" s="98">
        <f t="shared" si="2"/>
        <v>1515</v>
      </c>
      <c r="K68" s="99">
        <f t="shared" si="3"/>
        <v>505</v>
      </c>
      <c r="L68" s="99">
        <f t="shared" si="4"/>
        <v>2020</v>
      </c>
    </row>
    <row r="69" spans="1:12">
      <c r="A69" s="1">
        <v>16</v>
      </c>
      <c r="B69" s="2" t="s">
        <v>303</v>
      </c>
      <c r="C69" s="2" t="s">
        <v>171</v>
      </c>
      <c r="D69" s="2" t="s">
        <v>304</v>
      </c>
      <c r="E69" s="2" t="s">
        <v>305</v>
      </c>
      <c r="F69" s="4">
        <v>17.45</v>
      </c>
      <c r="G69" s="3">
        <v>29</v>
      </c>
      <c r="H69" s="3">
        <f t="shared" si="0"/>
        <v>25</v>
      </c>
      <c r="I69" s="97">
        <f t="shared" si="1"/>
        <v>0</v>
      </c>
      <c r="J69" s="98">
        <f t="shared" si="2"/>
        <v>506.04999999999995</v>
      </c>
      <c r="K69" s="99">
        <f t="shared" si="3"/>
        <v>58</v>
      </c>
      <c r="L69" s="99">
        <f t="shared" si="4"/>
        <v>564.04999999999995</v>
      </c>
    </row>
    <row r="70" spans="1:12">
      <c r="A70" s="1">
        <v>19</v>
      </c>
      <c r="B70" s="2" t="s">
        <v>306</v>
      </c>
      <c r="C70" s="2" t="s">
        <v>307</v>
      </c>
      <c r="D70" s="2" t="s">
        <v>304</v>
      </c>
      <c r="E70" s="2" t="s">
        <v>308</v>
      </c>
      <c r="F70" s="4">
        <v>9.1999999999999993</v>
      </c>
      <c r="G70" s="3">
        <v>25</v>
      </c>
      <c r="H70" s="3">
        <f t="shared" ref="H70:H81" si="5">VLOOKUP(D70,$B$85:$D$93,2,0)</f>
        <v>25</v>
      </c>
      <c r="I70" s="97">
        <f t="shared" ref="I70:I81" si="6">IF(G70=0,H70*3,IF(G70&lt;H70,(G70*H70)*1.1,0))</f>
        <v>0</v>
      </c>
      <c r="J70" s="98">
        <f t="shared" ref="J70:J81" si="7">G70*F70</f>
        <v>229.99999999999997</v>
      </c>
      <c r="K70" s="99">
        <f t="shared" ref="K70:K81" si="8">VLOOKUP(D70,$B$85:$D$93,3,0)*G70</f>
        <v>50</v>
      </c>
      <c r="L70" s="99">
        <f t="shared" ref="L70:L81" si="9">J70+K70</f>
        <v>280</v>
      </c>
    </row>
    <row r="71" spans="1:12">
      <c r="A71" s="1">
        <v>20</v>
      </c>
      <c r="B71" s="2" t="s">
        <v>309</v>
      </c>
      <c r="C71" s="2" t="s">
        <v>307</v>
      </c>
      <c r="D71" s="2" t="s">
        <v>304</v>
      </c>
      <c r="E71" s="2" t="s">
        <v>310</v>
      </c>
      <c r="F71" s="4">
        <v>81</v>
      </c>
      <c r="G71" s="3">
        <v>40</v>
      </c>
      <c r="H71" s="3">
        <f t="shared" si="5"/>
        <v>25</v>
      </c>
      <c r="I71" s="97">
        <f t="shared" si="6"/>
        <v>0</v>
      </c>
      <c r="J71" s="98">
        <f t="shared" si="7"/>
        <v>3240</v>
      </c>
      <c r="K71" s="99">
        <f t="shared" si="8"/>
        <v>80</v>
      </c>
      <c r="L71" s="99">
        <f t="shared" si="9"/>
        <v>3320</v>
      </c>
    </row>
    <row r="72" spans="1:12">
      <c r="A72" s="1">
        <v>21</v>
      </c>
      <c r="B72" s="2" t="s">
        <v>311</v>
      </c>
      <c r="C72" s="2" t="s">
        <v>307</v>
      </c>
      <c r="D72" s="2" t="s">
        <v>304</v>
      </c>
      <c r="E72" s="2" t="s">
        <v>312</v>
      </c>
      <c r="F72" s="4">
        <v>10</v>
      </c>
      <c r="G72" s="3">
        <v>3</v>
      </c>
      <c r="H72" s="3">
        <f t="shared" si="5"/>
        <v>25</v>
      </c>
      <c r="I72" s="97">
        <f t="shared" si="6"/>
        <v>82.5</v>
      </c>
      <c r="J72" s="98">
        <f t="shared" si="7"/>
        <v>30</v>
      </c>
      <c r="K72" s="99">
        <f t="shared" si="8"/>
        <v>6</v>
      </c>
      <c r="L72" s="99">
        <f t="shared" si="9"/>
        <v>36</v>
      </c>
    </row>
    <row r="73" spans="1:12">
      <c r="A73" s="1">
        <v>25</v>
      </c>
      <c r="B73" s="2" t="s">
        <v>313</v>
      </c>
      <c r="C73" s="2" t="s">
        <v>314</v>
      </c>
      <c r="D73" s="2" t="s">
        <v>304</v>
      </c>
      <c r="E73" s="2" t="s">
        <v>315</v>
      </c>
      <c r="F73" s="4">
        <v>14</v>
      </c>
      <c r="G73" s="3">
        <v>76</v>
      </c>
      <c r="H73" s="3">
        <f t="shared" si="5"/>
        <v>25</v>
      </c>
      <c r="I73" s="97">
        <f t="shared" si="6"/>
        <v>0</v>
      </c>
      <c r="J73" s="98">
        <f t="shared" si="7"/>
        <v>1064</v>
      </c>
      <c r="K73" s="99">
        <f t="shared" si="8"/>
        <v>152</v>
      </c>
      <c r="L73" s="99">
        <f t="shared" si="9"/>
        <v>1216</v>
      </c>
    </row>
    <row r="74" spans="1:12">
      <c r="A74" s="1">
        <v>26</v>
      </c>
      <c r="B74" s="2" t="s">
        <v>316</v>
      </c>
      <c r="C74" s="2" t="s">
        <v>314</v>
      </c>
      <c r="D74" s="2" t="s">
        <v>304</v>
      </c>
      <c r="E74" s="2" t="s">
        <v>317</v>
      </c>
      <c r="F74" s="4">
        <v>31.23</v>
      </c>
      <c r="G74" s="3">
        <v>15</v>
      </c>
      <c r="H74" s="3">
        <f t="shared" si="5"/>
        <v>25</v>
      </c>
      <c r="I74" s="97">
        <f t="shared" si="6"/>
        <v>412.50000000000006</v>
      </c>
      <c r="J74" s="98">
        <f t="shared" si="7"/>
        <v>468.45</v>
      </c>
      <c r="K74" s="99">
        <f t="shared" si="8"/>
        <v>30</v>
      </c>
      <c r="L74" s="99">
        <f t="shared" si="9"/>
        <v>498.45</v>
      </c>
    </row>
    <row r="75" spans="1:12">
      <c r="A75" s="1">
        <v>27</v>
      </c>
      <c r="B75" s="2" t="s">
        <v>318</v>
      </c>
      <c r="C75" s="2" t="s">
        <v>314</v>
      </c>
      <c r="D75" s="2" t="s">
        <v>304</v>
      </c>
      <c r="E75" s="2" t="s">
        <v>319</v>
      </c>
      <c r="F75" s="4">
        <v>43.9</v>
      </c>
      <c r="G75" s="3">
        <v>49</v>
      </c>
      <c r="H75" s="3">
        <f t="shared" si="5"/>
        <v>25</v>
      </c>
      <c r="I75" s="97">
        <f t="shared" si="6"/>
        <v>0</v>
      </c>
      <c r="J75" s="98">
        <f t="shared" si="7"/>
        <v>2151.1</v>
      </c>
      <c r="K75" s="99">
        <f t="shared" si="8"/>
        <v>98</v>
      </c>
      <c r="L75" s="99">
        <f t="shared" si="9"/>
        <v>2249.1</v>
      </c>
    </row>
    <row r="76" spans="1:12">
      <c r="A76" s="1">
        <v>47</v>
      </c>
      <c r="B76" s="2" t="s">
        <v>320</v>
      </c>
      <c r="C76" s="2" t="s">
        <v>321</v>
      </c>
      <c r="D76" s="2" t="s">
        <v>304</v>
      </c>
      <c r="E76" s="2" t="s">
        <v>322</v>
      </c>
      <c r="F76" s="4">
        <v>9.5</v>
      </c>
      <c r="G76" s="3">
        <v>36</v>
      </c>
      <c r="H76" s="3">
        <f t="shared" si="5"/>
        <v>25</v>
      </c>
      <c r="I76" s="97">
        <f t="shared" si="6"/>
        <v>0</v>
      </c>
      <c r="J76" s="98">
        <f t="shared" si="7"/>
        <v>342</v>
      </c>
      <c r="K76" s="99">
        <f t="shared" si="8"/>
        <v>72</v>
      </c>
      <c r="L76" s="99">
        <f t="shared" si="9"/>
        <v>414</v>
      </c>
    </row>
    <row r="77" spans="1:12">
      <c r="A77" s="1">
        <v>48</v>
      </c>
      <c r="B77" s="2" t="s">
        <v>323</v>
      </c>
      <c r="C77" s="2" t="s">
        <v>321</v>
      </c>
      <c r="D77" s="2" t="s">
        <v>304</v>
      </c>
      <c r="E77" s="2" t="s">
        <v>324</v>
      </c>
      <c r="F77" s="4">
        <v>12.75</v>
      </c>
      <c r="G77" s="3">
        <v>15</v>
      </c>
      <c r="H77" s="3">
        <f t="shared" si="5"/>
        <v>25</v>
      </c>
      <c r="I77" s="97">
        <f t="shared" si="6"/>
        <v>412.50000000000006</v>
      </c>
      <c r="J77" s="98">
        <f t="shared" si="7"/>
        <v>191.25</v>
      </c>
      <c r="K77" s="99">
        <f t="shared" si="8"/>
        <v>30</v>
      </c>
      <c r="L77" s="99">
        <f t="shared" si="9"/>
        <v>221.25</v>
      </c>
    </row>
    <row r="78" spans="1:12">
      <c r="A78" s="1">
        <v>49</v>
      </c>
      <c r="B78" s="2" t="s">
        <v>325</v>
      </c>
      <c r="C78" s="2" t="s">
        <v>177</v>
      </c>
      <c r="D78" s="2" t="s">
        <v>304</v>
      </c>
      <c r="E78" s="2" t="s">
        <v>326</v>
      </c>
      <c r="F78" s="4">
        <v>20</v>
      </c>
      <c r="G78" s="3">
        <v>10</v>
      </c>
      <c r="H78" s="3">
        <f t="shared" si="5"/>
        <v>25</v>
      </c>
      <c r="I78" s="97">
        <f t="shared" si="6"/>
        <v>275</v>
      </c>
      <c r="J78" s="98">
        <f t="shared" si="7"/>
        <v>200</v>
      </c>
      <c r="K78" s="99">
        <f t="shared" si="8"/>
        <v>20</v>
      </c>
      <c r="L78" s="99">
        <f t="shared" si="9"/>
        <v>220</v>
      </c>
    </row>
    <row r="79" spans="1:12">
      <c r="A79" s="1">
        <v>50</v>
      </c>
      <c r="B79" s="2" t="s">
        <v>327</v>
      </c>
      <c r="C79" s="2" t="s">
        <v>177</v>
      </c>
      <c r="D79" s="2" t="s">
        <v>304</v>
      </c>
      <c r="E79" s="2" t="s">
        <v>328</v>
      </c>
      <c r="F79" s="4">
        <v>16.25</v>
      </c>
      <c r="G79" s="3">
        <v>65</v>
      </c>
      <c r="H79" s="3">
        <f t="shared" si="5"/>
        <v>25</v>
      </c>
      <c r="I79" s="97">
        <f t="shared" si="6"/>
        <v>0</v>
      </c>
      <c r="J79" s="98">
        <f t="shared" si="7"/>
        <v>1056.25</v>
      </c>
      <c r="K79" s="99">
        <f t="shared" si="8"/>
        <v>130</v>
      </c>
      <c r="L79" s="99">
        <f t="shared" si="9"/>
        <v>1186.25</v>
      </c>
    </row>
    <row r="80" spans="1:12">
      <c r="A80" s="1">
        <v>62</v>
      </c>
      <c r="B80" s="2" t="s">
        <v>329</v>
      </c>
      <c r="C80" s="2" t="s">
        <v>214</v>
      </c>
      <c r="D80" s="2" t="s">
        <v>304</v>
      </c>
      <c r="E80" s="2" t="s">
        <v>330</v>
      </c>
      <c r="F80" s="4">
        <v>49.3</v>
      </c>
      <c r="G80" s="3">
        <v>17</v>
      </c>
      <c r="H80" s="3">
        <f t="shared" si="5"/>
        <v>25</v>
      </c>
      <c r="I80" s="97">
        <f t="shared" si="6"/>
        <v>467.50000000000006</v>
      </c>
      <c r="J80" s="98">
        <f t="shared" si="7"/>
        <v>838.09999999999991</v>
      </c>
      <c r="K80" s="99">
        <f t="shared" si="8"/>
        <v>34</v>
      </c>
      <c r="L80" s="99">
        <f t="shared" si="9"/>
        <v>872.09999999999991</v>
      </c>
    </row>
    <row r="81" spans="1:12">
      <c r="A81" s="1">
        <v>68</v>
      </c>
      <c r="B81" s="2" t="s">
        <v>331</v>
      </c>
      <c r="C81" s="2" t="s">
        <v>307</v>
      </c>
      <c r="D81" s="2" t="s">
        <v>304</v>
      </c>
      <c r="E81" s="2" t="s">
        <v>332</v>
      </c>
      <c r="F81" s="4">
        <v>12.5</v>
      </c>
      <c r="G81" s="3">
        <v>6</v>
      </c>
      <c r="H81" s="3">
        <f t="shared" si="5"/>
        <v>25</v>
      </c>
      <c r="I81" s="97">
        <f t="shared" si="6"/>
        <v>165</v>
      </c>
      <c r="J81" s="98">
        <f t="shared" si="7"/>
        <v>75</v>
      </c>
      <c r="K81" s="99">
        <f t="shared" si="8"/>
        <v>12</v>
      </c>
      <c r="L81" s="99">
        <f t="shared" si="9"/>
        <v>87</v>
      </c>
    </row>
    <row r="85" spans="1:12" ht="45.75">
      <c r="B85" s="21" t="s">
        <v>122</v>
      </c>
      <c r="C85" s="21" t="s">
        <v>144</v>
      </c>
      <c r="D85" s="21" t="s">
        <v>333</v>
      </c>
    </row>
    <row r="86" spans="1:12">
      <c r="B86" s="123" t="s">
        <v>151</v>
      </c>
      <c r="C86" s="124">
        <v>10</v>
      </c>
      <c r="D86" s="5">
        <v>1</v>
      </c>
    </row>
    <row r="87" spans="1:12">
      <c r="B87" s="123" t="s">
        <v>181</v>
      </c>
      <c r="C87" s="124">
        <v>20</v>
      </c>
      <c r="D87" s="5">
        <v>5</v>
      </c>
    </row>
    <row r="88" spans="1:12">
      <c r="B88" s="123" t="s">
        <v>196</v>
      </c>
      <c r="C88" s="124">
        <v>15</v>
      </c>
      <c r="D88" s="5">
        <v>1</v>
      </c>
    </row>
    <row r="89" spans="1:12">
      <c r="B89" s="123" t="s">
        <v>225</v>
      </c>
      <c r="C89" s="124">
        <v>10</v>
      </c>
      <c r="D89" s="5">
        <v>5</v>
      </c>
    </row>
    <row r="90" spans="1:12">
      <c r="B90" s="123" t="s">
        <v>237</v>
      </c>
      <c r="C90" s="124">
        <v>5</v>
      </c>
      <c r="D90" s="5">
        <v>3</v>
      </c>
    </row>
    <row r="91" spans="1:12">
      <c r="B91" s="123" t="s">
        <v>253</v>
      </c>
      <c r="C91" s="124">
        <v>10</v>
      </c>
      <c r="D91" s="5">
        <v>5</v>
      </c>
    </row>
    <row r="92" spans="1:12">
      <c r="B92" s="123" t="s">
        <v>274</v>
      </c>
      <c r="C92" s="124">
        <v>5</v>
      </c>
      <c r="D92" s="5">
        <v>5</v>
      </c>
    </row>
    <row r="93" spans="1:12">
      <c r="B93" s="123" t="s">
        <v>304</v>
      </c>
      <c r="C93" s="124">
        <v>25</v>
      </c>
      <c r="D93" s="5">
        <v>2</v>
      </c>
    </row>
    <row r="100" spans="1:1">
      <c r="A100" s="9">
        <v>41730</v>
      </c>
    </row>
  </sheetData>
  <mergeCells count="1">
    <mergeCell ref="A1:L1"/>
  </mergeCells>
  <phoneticPr fontId="6" type="noConversion"/>
  <dataValidations count="1">
    <dataValidation type="whole" allowBlank="1" showInputMessage="1" showErrorMessage="1" error="El codigo no esta entre 1 y 80" prompt="Codigos entre 1 y 80" sqref="A5:A81" xr:uid="{C1C9C3EE-C5E8-4B4A-9630-E4C29DE98E38}">
      <formula1>1</formula1>
      <formula2>80</formula2>
    </dataValidation>
  </dataValidations>
  <pageMargins left="0.75" right="0.75" top="1" bottom="1" header="0" footer="0"/>
  <pageSetup paperSize="9" orientation="portrait" horizontalDpi="0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3:U2017"/>
  <sheetViews>
    <sheetView workbookViewId="0">
      <selection activeCell="J66" sqref="J66"/>
    </sheetView>
  </sheetViews>
  <sheetFormatPr defaultColWidth="11.42578125" defaultRowHeight="12.6"/>
  <cols>
    <col min="1" max="1" width="22.85546875" style="22" bestFit="1" customWidth="1"/>
    <col min="2" max="2" width="17.140625" style="22" customWidth="1"/>
    <col min="3" max="3" width="33" style="22" customWidth="1"/>
    <col min="4" max="4" width="22.5703125" style="22" customWidth="1"/>
    <col min="5" max="5" width="15.85546875" style="22" customWidth="1"/>
    <col min="6" max="6" width="13.5703125" style="22" customWidth="1"/>
    <col min="7" max="7" width="16" style="22" customWidth="1"/>
    <col min="8" max="8" width="13.5703125" style="22" customWidth="1"/>
    <col min="9" max="16384" width="11.42578125" style="22"/>
  </cols>
  <sheetData>
    <row r="3" spans="1:8" ht="17.45">
      <c r="B3" s="72" t="s">
        <v>343</v>
      </c>
      <c r="C3" s="72"/>
      <c r="D3" s="72"/>
      <c r="E3" s="72"/>
      <c r="F3" s="72"/>
      <c r="G3" s="72"/>
      <c r="H3" s="72"/>
    </row>
    <row r="4" spans="1:8" ht="17.45">
      <c r="B4" s="72" t="s">
        <v>344</v>
      </c>
      <c r="C4" s="72"/>
      <c r="D4" s="72"/>
      <c r="E4" s="72"/>
      <c r="F4" s="72"/>
      <c r="G4" s="72"/>
      <c r="H4" s="72"/>
    </row>
    <row r="5" spans="1:8" ht="12.95" thickBot="1"/>
    <row r="6" spans="1:8" ht="25.5" customHeight="1" thickBot="1">
      <c r="E6" s="73" t="s">
        <v>345</v>
      </c>
      <c r="F6" s="74"/>
      <c r="G6" s="74"/>
      <c r="H6" s="75"/>
    </row>
    <row r="7" spans="1:8" ht="47.1" thickBot="1">
      <c r="A7" s="37" t="s">
        <v>346</v>
      </c>
      <c r="B7" s="38" t="s">
        <v>347</v>
      </c>
      <c r="C7" s="37" t="s">
        <v>348</v>
      </c>
      <c r="D7" s="38" t="s">
        <v>349</v>
      </c>
      <c r="E7" s="37" t="s">
        <v>350</v>
      </c>
      <c r="F7" s="37" t="s">
        <v>351</v>
      </c>
      <c r="G7" s="37" t="s">
        <v>352</v>
      </c>
      <c r="H7" s="37" t="s">
        <v>353</v>
      </c>
    </row>
    <row r="8" spans="1:8" ht="14.1">
      <c r="A8" s="23" t="s">
        <v>354</v>
      </c>
      <c r="B8" s="24">
        <v>210</v>
      </c>
      <c r="C8" s="24" t="s">
        <v>355</v>
      </c>
      <c r="D8" s="24" t="s">
        <v>356</v>
      </c>
      <c r="E8" s="24">
        <v>22</v>
      </c>
      <c r="F8" s="24">
        <v>8</v>
      </c>
      <c r="G8" s="24">
        <v>10</v>
      </c>
      <c r="H8" s="24">
        <v>5</v>
      </c>
    </row>
    <row r="9" spans="1:8" ht="14.1">
      <c r="A9" s="25" t="s">
        <v>357</v>
      </c>
      <c r="B9" s="26">
        <v>550</v>
      </c>
      <c r="C9" s="26" t="s">
        <v>358</v>
      </c>
      <c r="D9" s="26" t="s">
        <v>359</v>
      </c>
      <c r="E9" s="26">
        <v>21</v>
      </c>
      <c r="F9" s="26">
        <v>0</v>
      </c>
      <c r="G9" s="26">
        <v>0</v>
      </c>
      <c r="H9" s="26">
        <v>0</v>
      </c>
    </row>
    <row r="10" spans="1:8" ht="14.1">
      <c r="A10" s="25" t="s">
        <v>360</v>
      </c>
      <c r="B10" s="26">
        <v>820</v>
      </c>
      <c r="C10" s="26" t="s">
        <v>361</v>
      </c>
      <c r="D10" s="26" t="s">
        <v>359</v>
      </c>
      <c r="E10" s="26">
        <v>20</v>
      </c>
      <c r="F10" s="26">
        <v>10</v>
      </c>
      <c r="G10" s="26">
        <v>3</v>
      </c>
      <c r="H10" s="26">
        <v>5</v>
      </c>
    </row>
    <row r="11" spans="1:8" ht="14.1">
      <c r="A11" s="25" t="s">
        <v>354</v>
      </c>
      <c r="B11" s="26">
        <v>240</v>
      </c>
      <c r="C11" s="26" t="s">
        <v>362</v>
      </c>
      <c r="D11" s="26" t="s">
        <v>363</v>
      </c>
      <c r="E11" s="26">
        <v>22</v>
      </c>
      <c r="F11" s="26">
        <v>2</v>
      </c>
      <c r="G11" s="26">
        <v>7</v>
      </c>
      <c r="H11" s="26">
        <v>4</v>
      </c>
    </row>
    <row r="12" spans="1:8" ht="14.1">
      <c r="A12" s="25" t="s">
        <v>360</v>
      </c>
      <c r="B12" s="26">
        <v>345</v>
      </c>
      <c r="C12" s="26" t="s">
        <v>364</v>
      </c>
      <c r="D12" s="26" t="s">
        <v>365</v>
      </c>
      <c r="E12" s="26">
        <v>19</v>
      </c>
      <c r="F12" s="26">
        <v>2</v>
      </c>
      <c r="G12" s="26">
        <v>6</v>
      </c>
      <c r="H12" s="26">
        <v>11</v>
      </c>
    </row>
    <row r="13" spans="1:8" ht="14.1">
      <c r="A13" s="25" t="s">
        <v>360</v>
      </c>
      <c r="B13" s="26">
        <v>670</v>
      </c>
      <c r="C13" s="26" t="s">
        <v>366</v>
      </c>
      <c r="D13" s="26" t="s">
        <v>367</v>
      </c>
      <c r="E13" s="26">
        <v>23</v>
      </c>
      <c r="F13" s="26">
        <v>1</v>
      </c>
      <c r="G13" s="26">
        <v>1</v>
      </c>
      <c r="H13" s="26">
        <v>2</v>
      </c>
    </row>
    <row r="14" spans="1:8" ht="14.1">
      <c r="A14" s="25" t="s">
        <v>357</v>
      </c>
      <c r="B14" s="26">
        <v>543</v>
      </c>
      <c r="C14" s="26" t="s">
        <v>368</v>
      </c>
      <c r="D14" s="26" t="s">
        <v>369</v>
      </c>
      <c r="E14" s="26">
        <v>24</v>
      </c>
      <c r="F14" s="26">
        <v>7</v>
      </c>
      <c r="G14" s="26">
        <v>7</v>
      </c>
      <c r="H14" s="26">
        <v>9</v>
      </c>
    </row>
    <row r="15" spans="1:8" ht="14.1">
      <c r="A15" s="25" t="s">
        <v>357</v>
      </c>
      <c r="B15" s="26">
        <v>769</v>
      </c>
      <c r="C15" s="26" t="s">
        <v>370</v>
      </c>
      <c r="D15" s="26" t="s">
        <v>356</v>
      </c>
      <c r="E15" s="26">
        <v>21</v>
      </c>
      <c r="F15" s="26">
        <v>1</v>
      </c>
      <c r="G15" s="26">
        <v>1</v>
      </c>
      <c r="H15" s="26">
        <v>0</v>
      </c>
    </row>
    <row r="16" spans="1:8" ht="14.1">
      <c r="A16" s="25" t="s">
        <v>354</v>
      </c>
      <c r="B16" s="26">
        <v>439</v>
      </c>
      <c r="C16" s="26" t="s">
        <v>371</v>
      </c>
      <c r="D16" s="26" t="s">
        <v>365</v>
      </c>
      <c r="E16" s="26">
        <v>20</v>
      </c>
      <c r="F16" s="26">
        <v>0</v>
      </c>
      <c r="G16" s="26">
        <v>1</v>
      </c>
      <c r="H16" s="26">
        <v>0</v>
      </c>
    </row>
    <row r="17" spans="1:8" ht="14.1">
      <c r="A17" s="25" t="s">
        <v>357</v>
      </c>
      <c r="B17" s="26">
        <v>197</v>
      </c>
      <c r="C17" s="26" t="s">
        <v>372</v>
      </c>
      <c r="D17" s="26" t="s">
        <v>356</v>
      </c>
      <c r="E17" s="26">
        <v>25</v>
      </c>
      <c r="F17" s="26">
        <v>0</v>
      </c>
      <c r="G17" s="26">
        <v>0</v>
      </c>
      <c r="H17" s="26">
        <v>0</v>
      </c>
    </row>
    <row r="18" spans="1:8" ht="14.1">
      <c r="A18" s="25" t="s">
        <v>360</v>
      </c>
      <c r="B18" s="26">
        <v>200</v>
      </c>
      <c r="C18" s="26" t="s">
        <v>373</v>
      </c>
      <c r="D18" s="26" t="s">
        <v>359</v>
      </c>
      <c r="E18" s="26">
        <v>22</v>
      </c>
      <c r="F18" s="26">
        <v>3</v>
      </c>
      <c r="G18" s="26">
        <v>2</v>
      </c>
      <c r="H18" s="26">
        <v>1</v>
      </c>
    </row>
    <row r="19" spans="1:8" ht="14.1">
      <c r="A19" s="25" t="s">
        <v>354</v>
      </c>
      <c r="B19" s="26">
        <v>850</v>
      </c>
      <c r="C19" s="26" t="s">
        <v>374</v>
      </c>
      <c r="D19" s="26" t="s">
        <v>365</v>
      </c>
      <c r="E19" s="26">
        <v>21</v>
      </c>
      <c r="F19" s="26">
        <v>10</v>
      </c>
      <c r="G19" s="26">
        <v>11</v>
      </c>
      <c r="H19" s="26">
        <v>2</v>
      </c>
    </row>
    <row r="20" spans="1:8" ht="14.1">
      <c r="A20" s="25" t="s">
        <v>360</v>
      </c>
      <c r="B20" s="26">
        <v>392</v>
      </c>
      <c r="C20" s="26" t="s">
        <v>375</v>
      </c>
      <c r="D20" s="26" t="s">
        <v>363</v>
      </c>
      <c r="E20" s="26">
        <v>23</v>
      </c>
      <c r="F20" s="26">
        <v>0</v>
      </c>
      <c r="G20" s="26">
        <v>0</v>
      </c>
      <c r="H20" s="26">
        <v>0</v>
      </c>
    </row>
    <row r="21" spans="1:8" ht="14.1">
      <c r="A21" s="25" t="s">
        <v>354</v>
      </c>
      <c r="B21" s="26">
        <v>456</v>
      </c>
      <c r="C21" s="26" t="s">
        <v>376</v>
      </c>
      <c r="D21" s="26" t="s">
        <v>359</v>
      </c>
      <c r="E21" s="26">
        <v>25</v>
      </c>
      <c r="F21" s="26">
        <v>1</v>
      </c>
      <c r="G21" s="26">
        <v>0</v>
      </c>
      <c r="H21" s="26">
        <v>2</v>
      </c>
    </row>
    <row r="22" spans="1:8" ht="14.1">
      <c r="A22" s="25" t="s">
        <v>360</v>
      </c>
      <c r="B22" s="26">
        <v>410</v>
      </c>
      <c r="C22" s="26" t="s">
        <v>377</v>
      </c>
      <c r="D22" s="26" t="s">
        <v>378</v>
      </c>
      <c r="E22" s="26">
        <v>24</v>
      </c>
      <c r="F22" s="26">
        <v>0</v>
      </c>
      <c r="G22" s="26">
        <v>1</v>
      </c>
      <c r="H22" s="26">
        <v>0</v>
      </c>
    </row>
    <row r="23" spans="1:8" ht="14.1">
      <c r="A23" s="25" t="s">
        <v>357</v>
      </c>
      <c r="B23" s="26">
        <v>432</v>
      </c>
      <c r="C23" s="26" t="s">
        <v>379</v>
      </c>
      <c r="D23" s="26" t="s">
        <v>380</v>
      </c>
      <c r="E23" s="26">
        <v>19</v>
      </c>
      <c r="F23" s="26">
        <v>0</v>
      </c>
      <c r="G23" s="26">
        <v>2</v>
      </c>
      <c r="H23" s="26">
        <v>6</v>
      </c>
    </row>
    <row r="24" spans="1:8" ht="14.1">
      <c r="A24" s="25" t="s">
        <v>360</v>
      </c>
      <c r="B24" s="26">
        <v>456</v>
      </c>
      <c r="C24" s="26" t="s">
        <v>381</v>
      </c>
      <c r="D24" s="26" t="s">
        <v>369</v>
      </c>
      <c r="E24" s="26">
        <v>25</v>
      </c>
      <c r="F24" s="26">
        <v>2</v>
      </c>
      <c r="G24" s="26">
        <v>2</v>
      </c>
      <c r="H24" s="26">
        <v>6</v>
      </c>
    </row>
    <row r="25" spans="1:8" ht="14.1">
      <c r="A25" s="25" t="s">
        <v>354</v>
      </c>
      <c r="B25" s="26">
        <v>810</v>
      </c>
      <c r="C25" s="26" t="s">
        <v>382</v>
      </c>
      <c r="D25" s="26" t="s">
        <v>367</v>
      </c>
      <c r="E25" s="26">
        <v>22</v>
      </c>
      <c r="F25" s="26">
        <v>2</v>
      </c>
      <c r="G25" s="26">
        <v>2</v>
      </c>
      <c r="H25" s="26">
        <v>8</v>
      </c>
    </row>
    <row r="26" spans="1:8" ht="14.1">
      <c r="A26" s="25" t="s">
        <v>357</v>
      </c>
      <c r="B26" s="26">
        <v>329</v>
      </c>
      <c r="C26" s="26" t="s">
        <v>383</v>
      </c>
      <c r="D26" s="26" t="s">
        <v>356</v>
      </c>
      <c r="E26" s="26">
        <v>20</v>
      </c>
      <c r="F26" s="26">
        <v>1</v>
      </c>
      <c r="G26" s="26">
        <v>3</v>
      </c>
      <c r="H26" s="26">
        <v>0</v>
      </c>
    </row>
    <row r="27" spans="1:8" ht="14.1">
      <c r="A27" s="25" t="s">
        <v>357</v>
      </c>
      <c r="B27" s="26">
        <v>270</v>
      </c>
      <c r="C27" s="26" t="s">
        <v>384</v>
      </c>
      <c r="D27" s="26" t="s">
        <v>359</v>
      </c>
      <c r="E27" s="26">
        <v>27</v>
      </c>
      <c r="F27" s="26">
        <v>0</v>
      </c>
      <c r="G27" s="26">
        <v>0</v>
      </c>
      <c r="H27" s="26">
        <v>0</v>
      </c>
    </row>
    <row r="28" spans="1:8" ht="14.1">
      <c r="A28" s="25" t="s">
        <v>354</v>
      </c>
      <c r="B28" s="26">
        <v>509</v>
      </c>
      <c r="C28" s="26" t="s">
        <v>385</v>
      </c>
      <c r="D28" s="26" t="s">
        <v>367</v>
      </c>
      <c r="E28" s="26">
        <v>26</v>
      </c>
      <c r="F28" s="26">
        <v>0</v>
      </c>
      <c r="G28" s="26">
        <v>1</v>
      </c>
      <c r="H28" s="26">
        <v>1</v>
      </c>
    </row>
    <row r="29" spans="1:8" ht="14.1">
      <c r="A29" s="25" t="s">
        <v>360</v>
      </c>
      <c r="B29" s="26">
        <v>350</v>
      </c>
      <c r="C29" s="26" t="s">
        <v>386</v>
      </c>
      <c r="D29" s="26" t="s">
        <v>369</v>
      </c>
      <c r="E29" s="26">
        <v>22</v>
      </c>
      <c r="F29" s="26">
        <v>5</v>
      </c>
      <c r="G29" s="26">
        <v>4</v>
      </c>
      <c r="H29" s="26">
        <v>8</v>
      </c>
    </row>
    <row r="30" spans="1:8" ht="14.1">
      <c r="A30" s="25" t="s">
        <v>360</v>
      </c>
      <c r="B30" s="26">
        <v>590</v>
      </c>
      <c r="C30" s="26" t="s">
        <v>387</v>
      </c>
      <c r="D30" s="26" t="s">
        <v>365</v>
      </c>
      <c r="E30" s="26">
        <v>19</v>
      </c>
      <c r="F30" s="26">
        <v>3</v>
      </c>
      <c r="G30" s="26">
        <v>2</v>
      </c>
      <c r="H30" s="26">
        <v>2</v>
      </c>
    </row>
    <row r="31" spans="1:8" ht="14.1">
      <c r="A31" s="25" t="s">
        <v>354</v>
      </c>
      <c r="B31" s="26">
        <v>275</v>
      </c>
      <c r="C31" s="26" t="s">
        <v>388</v>
      </c>
      <c r="D31" s="26" t="s">
        <v>378</v>
      </c>
      <c r="E31" s="26">
        <v>19</v>
      </c>
      <c r="F31" s="26">
        <v>2</v>
      </c>
      <c r="G31" s="26">
        <v>2</v>
      </c>
      <c r="H31" s="26">
        <v>2</v>
      </c>
    </row>
    <row r="32" spans="1:8" ht="14.1">
      <c r="A32" s="25" t="s">
        <v>360</v>
      </c>
      <c r="B32" s="26">
        <v>590</v>
      </c>
      <c r="C32" s="26" t="s">
        <v>389</v>
      </c>
      <c r="D32" s="26" t="s">
        <v>356</v>
      </c>
      <c r="E32" s="26">
        <v>21</v>
      </c>
      <c r="F32" s="26">
        <v>9</v>
      </c>
      <c r="G32" s="26">
        <v>10</v>
      </c>
      <c r="H32" s="26">
        <v>11</v>
      </c>
    </row>
    <row r="33" spans="1:8" ht="14.1">
      <c r="A33" s="25" t="s">
        <v>357</v>
      </c>
      <c r="B33" s="26">
        <v>852</v>
      </c>
      <c r="C33" s="26" t="s">
        <v>390</v>
      </c>
      <c r="D33" s="26" t="s">
        <v>380</v>
      </c>
      <c r="E33" s="26">
        <v>25</v>
      </c>
      <c r="F33" s="26">
        <v>5</v>
      </c>
      <c r="G33" s="26">
        <v>8</v>
      </c>
      <c r="H33" s="26">
        <v>10</v>
      </c>
    </row>
    <row r="34" spans="1:8" ht="14.1">
      <c r="A34" s="25" t="s">
        <v>360</v>
      </c>
      <c r="B34" s="26">
        <v>340</v>
      </c>
      <c r="C34" s="26" t="s">
        <v>391</v>
      </c>
      <c r="D34" s="26" t="s">
        <v>369</v>
      </c>
      <c r="E34" s="26">
        <v>24</v>
      </c>
      <c r="F34" s="26">
        <v>8</v>
      </c>
      <c r="G34" s="26">
        <v>4</v>
      </c>
      <c r="H34" s="26">
        <v>9</v>
      </c>
    </row>
    <row r="35" spans="1:8" ht="14.1">
      <c r="A35" s="25" t="s">
        <v>357</v>
      </c>
      <c r="B35" s="26">
        <v>700</v>
      </c>
      <c r="C35" s="26" t="s">
        <v>392</v>
      </c>
      <c r="D35" s="26" t="s">
        <v>359</v>
      </c>
      <c r="E35" s="26">
        <v>23</v>
      </c>
      <c r="F35" s="26">
        <v>5</v>
      </c>
      <c r="G35" s="26">
        <v>2</v>
      </c>
      <c r="H35" s="26">
        <v>7</v>
      </c>
    </row>
    <row r="36" spans="1:8" ht="14.1">
      <c r="A36" s="25" t="s">
        <v>360</v>
      </c>
      <c r="B36" s="26">
        <v>485</v>
      </c>
      <c r="C36" s="26" t="s">
        <v>393</v>
      </c>
      <c r="D36" s="26" t="s">
        <v>365</v>
      </c>
      <c r="E36" s="26">
        <v>21</v>
      </c>
      <c r="F36" s="26">
        <v>8</v>
      </c>
      <c r="G36" s="26">
        <v>9</v>
      </c>
      <c r="H36" s="26">
        <v>4</v>
      </c>
    </row>
    <row r="37" spans="1:8" ht="14.1">
      <c r="A37" s="25" t="s">
        <v>354</v>
      </c>
      <c r="B37" s="26">
        <v>677</v>
      </c>
      <c r="C37" s="26" t="s">
        <v>394</v>
      </c>
      <c r="D37" s="26" t="s">
        <v>356</v>
      </c>
      <c r="E37" s="26">
        <v>19</v>
      </c>
      <c r="F37" s="26">
        <v>4</v>
      </c>
      <c r="G37" s="26">
        <v>3</v>
      </c>
      <c r="H37" s="26">
        <v>0</v>
      </c>
    </row>
    <row r="38" spans="1:8" ht="14.1">
      <c r="A38" s="25" t="s">
        <v>360</v>
      </c>
      <c r="B38" s="26">
        <v>820</v>
      </c>
      <c r="C38" s="26" t="s">
        <v>395</v>
      </c>
      <c r="D38" s="26" t="s">
        <v>359</v>
      </c>
      <c r="E38" s="26">
        <v>20</v>
      </c>
      <c r="F38" s="26">
        <v>2</v>
      </c>
      <c r="G38" s="26">
        <v>9</v>
      </c>
      <c r="H38" s="26">
        <v>10</v>
      </c>
    </row>
    <row r="39" spans="1:8" ht="14.1">
      <c r="A39" s="25" t="s">
        <v>357</v>
      </c>
      <c r="B39" s="26">
        <v>730</v>
      </c>
      <c r="C39" s="26" t="s">
        <v>396</v>
      </c>
      <c r="D39" s="26" t="s">
        <v>363</v>
      </c>
      <c r="E39" s="26">
        <v>27</v>
      </c>
      <c r="F39" s="26">
        <v>3</v>
      </c>
      <c r="G39" s="26">
        <v>8</v>
      </c>
      <c r="H39" s="26">
        <v>2</v>
      </c>
    </row>
    <row r="40" spans="1:8" ht="14.1">
      <c r="A40" s="25" t="s">
        <v>360</v>
      </c>
      <c r="B40" s="26">
        <v>430</v>
      </c>
      <c r="C40" s="26" t="s">
        <v>397</v>
      </c>
      <c r="D40" s="26" t="s">
        <v>369</v>
      </c>
      <c r="E40" s="26">
        <v>25</v>
      </c>
      <c r="F40" s="26">
        <v>6</v>
      </c>
      <c r="G40" s="26">
        <v>9</v>
      </c>
      <c r="H40" s="26">
        <v>5</v>
      </c>
    </row>
    <row r="41" spans="1:8" ht="14.1">
      <c r="A41" s="25" t="s">
        <v>354</v>
      </c>
      <c r="B41" s="26">
        <v>290</v>
      </c>
      <c r="C41" s="26" t="s">
        <v>398</v>
      </c>
      <c r="D41" s="26" t="s">
        <v>380</v>
      </c>
      <c r="E41" s="26">
        <v>26</v>
      </c>
      <c r="F41" s="26">
        <v>0</v>
      </c>
      <c r="G41" s="26">
        <v>1</v>
      </c>
      <c r="H41" s="26">
        <v>1</v>
      </c>
    </row>
    <row r="42" spans="1:8" ht="14.1">
      <c r="A42" s="25" t="s">
        <v>360</v>
      </c>
      <c r="B42" s="26">
        <v>832</v>
      </c>
      <c r="C42" s="26" t="s">
        <v>399</v>
      </c>
      <c r="D42" s="26" t="s">
        <v>356</v>
      </c>
      <c r="E42" s="26">
        <v>24</v>
      </c>
      <c r="F42" s="26">
        <v>1</v>
      </c>
      <c r="G42" s="26">
        <v>1</v>
      </c>
      <c r="H42" s="26">
        <v>1</v>
      </c>
    </row>
    <row r="43" spans="1:8" ht="14.1">
      <c r="A43" s="25" t="s">
        <v>357</v>
      </c>
      <c r="B43" s="26">
        <v>855</v>
      </c>
      <c r="C43" s="26" t="s">
        <v>400</v>
      </c>
      <c r="D43" s="26" t="s">
        <v>365</v>
      </c>
      <c r="E43" s="26">
        <v>27</v>
      </c>
      <c r="F43" s="26">
        <v>5</v>
      </c>
      <c r="G43" s="26">
        <v>8</v>
      </c>
      <c r="H43" s="26">
        <v>0</v>
      </c>
    </row>
    <row r="44" spans="1:8" ht="14.1">
      <c r="A44" s="25" t="s">
        <v>360</v>
      </c>
      <c r="B44" s="26">
        <v>198</v>
      </c>
      <c r="C44" s="26" t="s">
        <v>401</v>
      </c>
      <c r="D44" s="26" t="s">
        <v>367</v>
      </c>
      <c r="E44" s="26">
        <v>25</v>
      </c>
      <c r="F44" s="26">
        <v>2</v>
      </c>
      <c r="G44" s="26">
        <v>6</v>
      </c>
      <c r="H44" s="26">
        <v>4</v>
      </c>
    </row>
    <row r="45" spans="1:8" ht="14.1">
      <c r="A45" s="25" t="s">
        <v>354</v>
      </c>
      <c r="B45" s="26">
        <v>240</v>
      </c>
      <c r="C45" s="26" t="s">
        <v>402</v>
      </c>
      <c r="D45" s="26" t="s">
        <v>380</v>
      </c>
      <c r="E45" s="26">
        <v>20</v>
      </c>
      <c r="F45" s="26">
        <v>6</v>
      </c>
      <c r="G45" s="26">
        <v>8</v>
      </c>
      <c r="H45" s="26">
        <v>7</v>
      </c>
    </row>
    <row r="46" spans="1:8" ht="14.1">
      <c r="A46" s="25" t="s">
        <v>357</v>
      </c>
      <c r="B46" s="26">
        <v>590</v>
      </c>
      <c r="C46" s="26" t="s">
        <v>403</v>
      </c>
      <c r="D46" s="26" t="s">
        <v>378</v>
      </c>
      <c r="E46" s="26">
        <v>23</v>
      </c>
      <c r="F46" s="26">
        <v>1</v>
      </c>
      <c r="G46" s="26">
        <v>5</v>
      </c>
      <c r="H46" s="26">
        <v>9</v>
      </c>
    </row>
    <row r="47" spans="1:8" ht="14.45" thickBot="1">
      <c r="A47" s="27" t="s">
        <v>354</v>
      </c>
      <c r="B47" s="28">
        <v>762</v>
      </c>
      <c r="C47" s="28" t="s">
        <v>404</v>
      </c>
      <c r="D47" s="28" t="s">
        <v>356</v>
      </c>
      <c r="E47" s="28">
        <v>24</v>
      </c>
      <c r="F47" s="28">
        <v>11</v>
      </c>
      <c r="G47" s="28">
        <v>3</v>
      </c>
      <c r="H47" s="28">
        <v>9</v>
      </c>
    </row>
    <row r="50" spans="1:8">
      <c r="F50" s="29"/>
      <c r="G50" s="29"/>
      <c r="H50" s="29"/>
    </row>
    <row r="51" spans="1:8">
      <c r="F51" s="29"/>
      <c r="G51" s="29"/>
      <c r="H51" s="29"/>
    </row>
    <row r="52" spans="1:8" ht="12.95" thickBot="1">
      <c r="F52" s="29"/>
      <c r="G52" s="29"/>
      <c r="H52" s="29"/>
    </row>
    <row r="53" spans="1:8" ht="21.95" customHeight="1">
      <c r="A53" s="76" t="s">
        <v>405</v>
      </c>
      <c r="B53" s="77"/>
      <c r="C53" s="77"/>
      <c r="D53" s="78"/>
      <c r="E53" s="104">
        <f>SUMIFS(F8:F47,D8:D47,"UNLAM",A8:A47,"NATACIÓN",E8:E47,"&lt;25")</f>
        <v>23</v>
      </c>
    </row>
    <row r="54" spans="1:8" ht="21.95" customHeight="1">
      <c r="A54" s="79" t="s">
        <v>406</v>
      </c>
      <c r="B54" s="80"/>
      <c r="C54" s="80"/>
      <c r="D54" s="81"/>
      <c r="E54" s="45">
        <f>AVERAGEIFS(E8:E47,D8:D47,"UBA",A8:A47,"&lt;&gt;CICLISMO",G8:G47,"&gt;1")</f>
        <v>20.666666666666668</v>
      </c>
    </row>
    <row r="55" spans="1:8" ht="21.95" customHeight="1" thickBot="1">
      <c r="A55" s="82" t="s">
        <v>407</v>
      </c>
      <c r="B55" s="83"/>
      <c r="C55" s="83"/>
      <c r="D55" s="84"/>
      <c r="E55" s="46">
        <f>COUNTIFS(D8:D47,"UNLP",A8:A47,"PEDESTRE",H8:H47,"&gt;0")</f>
        <v>3</v>
      </c>
    </row>
    <row r="56" spans="1:8" ht="12.95" thickTop="1"/>
    <row r="59" spans="1:8" ht="21.75" customHeight="1" thickBot="1">
      <c r="E59" s="71" t="s">
        <v>408</v>
      </c>
      <c r="F59" s="71"/>
      <c r="G59" s="30" t="s">
        <v>409</v>
      </c>
      <c r="H59" s="30" t="s">
        <v>410</v>
      </c>
    </row>
    <row r="60" spans="1:8" ht="21.95" customHeight="1">
      <c r="A60" s="39" t="s">
        <v>411</v>
      </c>
      <c r="B60" s="40"/>
      <c r="C60" s="40"/>
      <c r="D60" s="31" t="s">
        <v>412</v>
      </c>
      <c r="E60" s="31">
        <f>SMALL(B8:B47,1)</f>
        <v>197</v>
      </c>
      <c r="F60" s="32" t="s">
        <v>413</v>
      </c>
      <c r="G60" s="47" t="str">
        <f>VLOOKUP(E60,B8:D47,2,1)</f>
        <v>DEPORTISTA 10</v>
      </c>
      <c r="H60" s="50" t="str">
        <f>VLOOKUP(E60,B8:D47,3,FALSE)</f>
        <v>UNLAM</v>
      </c>
    </row>
    <row r="61" spans="1:8" ht="21.95" customHeight="1">
      <c r="D61" s="41" t="s">
        <v>414</v>
      </c>
      <c r="E61" s="42">
        <f>SMALL(B8:B47,2)</f>
        <v>198</v>
      </c>
      <c r="F61" s="43" t="s">
        <v>413</v>
      </c>
      <c r="G61" s="48" t="str">
        <f>VLOOKUP(E61,B8:D47,2,0)</f>
        <v>DEPORTISTA 37</v>
      </c>
      <c r="H61" s="51" t="str">
        <f>VLOOKUP(E61,B8:D47,3,FALSE)</f>
        <v>UNSAM</v>
      </c>
    </row>
    <row r="62" spans="1:8" ht="21.95" customHeight="1">
      <c r="D62" s="44" t="s">
        <v>415</v>
      </c>
      <c r="E62" s="33">
        <f>SMALL(B8:B47,3)</f>
        <v>200</v>
      </c>
      <c r="F62" s="34" t="s">
        <v>413</v>
      </c>
      <c r="G62" s="49" t="str">
        <f>VLOOKUP(E62,B8:D47,2,FALSE)</f>
        <v>DEPORTISTA 11</v>
      </c>
      <c r="H62" s="52" t="str">
        <f>VLOOKUP(E62,B8:D47,3,FALSE)</f>
        <v>UBA</v>
      </c>
    </row>
    <row r="63" spans="1:8" ht="21.95" customHeight="1">
      <c r="D63" s="35"/>
      <c r="E63" s="36"/>
    </row>
    <row r="64" spans="1:8" ht="21.95" customHeight="1">
      <c r="D64" s="35"/>
      <c r="E64" s="71" t="s">
        <v>408</v>
      </c>
      <c r="F64" s="71"/>
      <c r="G64" s="30" t="s">
        <v>409</v>
      </c>
      <c r="H64" s="30" t="s">
        <v>410</v>
      </c>
    </row>
    <row r="65" spans="1:8" ht="21.95" customHeight="1">
      <c r="A65" s="39" t="s">
        <v>416</v>
      </c>
      <c r="B65" s="40"/>
      <c r="C65" s="40"/>
      <c r="D65" s="31" t="s">
        <v>417</v>
      </c>
      <c r="E65" s="31">
        <f>LARGE(B8:B47,1)</f>
        <v>855</v>
      </c>
      <c r="F65" s="32" t="s">
        <v>413</v>
      </c>
      <c r="G65" s="47" t="str">
        <f>VLOOKUP(E65,B13:D52,2,0)</f>
        <v>DEPORTISTA 36</v>
      </c>
      <c r="H65" s="50"/>
    </row>
    <row r="66" spans="1:8" ht="21.95" customHeight="1">
      <c r="D66" s="41" t="s">
        <v>418</v>
      </c>
      <c r="E66" s="42">
        <f>LARGE(B8:B47,2)</f>
        <v>852</v>
      </c>
      <c r="F66" s="43" t="s">
        <v>413</v>
      </c>
      <c r="G66" s="48" t="str">
        <f>VLOOKUP(E66,B13:D52,2,0)</f>
        <v>DEPORTISTA 26</v>
      </c>
      <c r="H66" s="51"/>
    </row>
    <row r="67" spans="1:8" ht="21.95" customHeight="1">
      <c r="D67" s="44" t="s">
        <v>419</v>
      </c>
      <c r="E67" s="33">
        <f>LARGE(B8:B47,3)</f>
        <v>850</v>
      </c>
      <c r="F67" s="34" t="s">
        <v>413</v>
      </c>
      <c r="G67" s="49" t="str">
        <f>VLOOKUP(E67,B13:D52,2,0)</f>
        <v>DEPORTISTA 12</v>
      </c>
      <c r="H67" s="52"/>
    </row>
    <row r="68" spans="1:8" ht="21.95" customHeight="1"/>
    <row r="2017" spans="21:21">
      <c r="U2017" s="22" t="s">
        <v>420</v>
      </c>
    </row>
  </sheetData>
  <mergeCells count="8">
    <mergeCell ref="E59:F59"/>
    <mergeCell ref="E64:F64"/>
    <mergeCell ref="B3:H3"/>
    <mergeCell ref="B4:H4"/>
    <mergeCell ref="E6:H6"/>
    <mergeCell ref="A53:D53"/>
    <mergeCell ref="A54:D54"/>
    <mergeCell ref="A55:D55"/>
  </mergeCells>
  <pageMargins left="0.7" right="0.7" top="0.75" bottom="0.75" header="0.3" footer="0.3"/>
  <pageSetup paperSize="5"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D7E2-70E2-43A7-BC5A-E8DFB789824E}">
  <sheetPr>
    <tabColor theme="8" tint="0.59999389629810485"/>
  </sheetPr>
  <dimension ref="A1:C21"/>
  <sheetViews>
    <sheetView workbookViewId="0">
      <selection sqref="A1:C21"/>
    </sheetView>
  </sheetViews>
  <sheetFormatPr defaultColWidth="8.7109375" defaultRowHeight="14.45"/>
  <cols>
    <col min="1" max="1" width="28.42578125" style="61" bestFit="1" customWidth="1"/>
    <col min="2" max="2" width="12" style="61" customWidth="1"/>
    <col min="3" max="3" width="16.5703125" style="61" bestFit="1" customWidth="1"/>
    <col min="4" max="16384" width="8.7109375" style="61"/>
  </cols>
  <sheetData>
    <row r="1" spans="1:3" ht="27.6" customHeight="1">
      <c r="A1" s="107" t="s">
        <v>421</v>
      </c>
      <c r="B1" s="108" t="s">
        <v>422</v>
      </c>
      <c r="C1" s="109" t="s">
        <v>423</v>
      </c>
    </row>
    <row r="2" spans="1:3" hidden="1">
      <c r="A2" s="105" t="s">
        <v>424</v>
      </c>
      <c r="B2" s="66">
        <v>6999</v>
      </c>
      <c r="C2" s="106">
        <v>471</v>
      </c>
    </row>
    <row r="3" spans="1:3">
      <c r="A3" s="105" t="s">
        <v>425</v>
      </c>
      <c r="B3" s="66">
        <v>5299</v>
      </c>
      <c r="C3" s="106">
        <v>321</v>
      </c>
    </row>
    <row r="4" spans="1:3" hidden="1">
      <c r="A4" s="105" t="s">
        <v>426</v>
      </c>
      <c r="B4" s="66">
        <v>4999</v>
      </c>
      <c r="C4" s="106">
        <v>399</v>
      </c>
    </row>
    <row r="5" spans="1:3" hidden="1">
      <c r="A5" s="105" t="s">
        <v>427</v>
      </c>
      <c r="B5" s="66">
        <v>4499</v>
      </c>
      <c r="C5" s="106">
        <v>248</v>
      </c>
    </row>
    <row r="6" spans="1:3" hidden="1">
      <c r="A6" s="105" t="s">
        <v>428</v>
      </c>
      <c r="B6" s="66">
        <v>16995</v>
      </c>
      <c r="C6" s="106">
        <v>955</v>
      </c>
    </row>
    <row r="7" spans="1:3" hidden="1">
      <c r="A7" s="105" t="s">
        <v>429</v>
      </c>
      <c r="B7" s="66">
        <v>16995</v>
      </c>
      <c r="C7" s="106">
        <v>999</v>
      </c>
    </row>
    <row r="8" spans="1:3">
      <c r="A8" s="105" t="s">
        <v>430</v>
      </c>
      <c r="B8" s="66">
        <v>5599</v>
      </c>
      <c r="C8" s="106">
        <v>373</v>
      </c>
    </row>
    <row r="9" spans="1:3" hidden="1">
      <c r="A9" s="105" t="s">
        <v>431</v>
      </c>
      <c r="B9" s="66">
        <v>15500</v>
      </c>
      <c r="C9" s="106">
        <v>765</v>
      </c>
    </row>
    <row r="10" spans="1:3" hidden="1">
      <c r="A10" s="105" t="s">
        <v>432</v>
      </c>
      <c r="B10" s="66">
        <v>11299</v>
      </c>
      <c r="C10" s="106">
        <v>659</v>
      </c>
    </row>
    <row r="11" spans="1:3" hidden="1">
      <c r="A11" s="105" t="s">
        <v>433</v>
      </c>
      <c r="B11" s="66">
        <v>15498</v>
      </c>
      <c r="C11" s="106">
        <v>798</v>
      </c>
    </row>
    <row r="12" spans="1:3" hidden="1">
      <c r="A12" s="105" t="s">
        <v>434</v>
      </c>
      <c r="B12" s="66">
        <v>7599</v>
      </c>
      <c r="C12" s="106">
        <v>749</v>
      </c>
    </row>
    <row r="13" spans="1:3" hidden="1">
      <c r="A13" s="105" t="s">
        <v>435</v>
      </c>
      <c r="B13" s="66">
        <v>8999</v>
      </c>
      <c r="C13" s="106">
        <v>999</v>
      </c>
    </row>
    <row r="14" spans="1:3" hidden="1">
      <c r="A14" s="105" t="s">
        <v>436</v>
      </c>
      <c r="B14" s="66">
        <v>5999</v>
      </c>
      <c r="C14" s="106">
        <v>648</v>
      </c>
    </row>
    <row r="15" spans="1:3" hidden="1">
      <c r="A15" s="105" t="s">
        <v>437</v>
      </c>
      <c r="B15" s="66">
        <v>7990</v>
      </c>
      <c r="C15" s="106">
        <v>744</v>
      </c>
    </row>
    <row r="16" spans="1:3" hidden="1">
      <c r="A16" s="105" t="s">
        <v>438</v>
      </c>
      <c r="B16" s="66">
        <v>4999</v>
      </c>
      <c r="C16" s="106">
        <v>373</v>
      </c>
    </row>
    <row r="17" spans="1:3" hidden="1">
      <c r="A17" s="105" t="s">
        <v>439</v>
      </c>
      <c r="B17" s="66">
        <v>3999</v>
      </c>
      <c r="C17" s="106">
        <v>300</v>
      </c>
    </row>
    <row r="18" spans="1:3" hidden="1">
      <c r="A18" s="105" t="s">
        <v>440</v>
      </c>
      <c r="B18" s="66">
        <v>3999</v>
      </c>
      <c r="C18" s="106">
        <v>292</v>
      </c>
    </row>
    <row r="19" spans="1:3" hidden="1">
      <c r="A19" s="105" t="s">
        <v>441</v>
      </c>
      <c r="B19" s="66">
        <v>2499</v>
      </c>
      <c r="C19" s="106">
        <v>123</v>
      </c>
    </row>
    <row r="20" spans="1:3" hidden="1">
      <c r="A20" s="105" t="s">
        <v>442</v>
      </c>
      <c r="B20" s="66">
        <v>4999</v>
      </c>
      <c r="C20" s="106">
        <v>278</v>
      </c>
    </row>
    <row r="21" spans="1:3" hidden="1">
      <c r="A21" s="110" t="s">
        <v>443</v>
      </c>
      <c r="B21" s="111">
        <v>1999</v>
      </c>
      <c r="C21" s="112">
        <v>373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7452-9937-4733-8452-C7B62455D29F}">
  <sheetPr>
    <tabColor theme="6"/>
  </sheetPr>
  <dimension ref="A1:G57"/>
  <sheetViews>
    <sheetView tabSelected="1" topLeftCell="A36" workbookViewId="0">
      <selection activeCell="A40" sqref="A40:C51"/>
    </sheetView>
  </sheetViews>
  <sheetFormatPr defaultColWidth="8.7109375" defaultRowHeight="14.45"/>
  <cols>
    <col min="1" max="1" width="30.140625" style="61" bestFit="1" customWidth="1"/>
    <col min="2" max="2" width="17" style="61" bestFit="1" customWidth="1"/>
    <col min="3" max="3" width="20.85546875" style="61" bestFit="1" customWidth="1"/>
    <col min="4" max="4" width="14.5703125" style="61" bestFit="1" customWidth="1"/>
    <col min="5" max="5" width="9" style="61" bestFit="1" customWidth="1"/>
    <col min="6" max="6" width="13.28515625" style="61" bestFit="1" customWidth="1"/>
    <col min="7" max="7" width="16.7109375" style="61" bestFit="1" customWidth="1"/>
    <col min="8" max="16384" width="8.7109375" style="61"/>
  </cols>
  <sheetData>
    <row r="1" spans="1:7" ht="27.6" customHeight="1">
      <c r="A1" s="65" t="s">
        <v>444</v>
      </c>
      <c r="B1" s="65" t="s">
        <v>445</v>
      </c>
      <c r="C1" s="65" t="s">
        <v>446</v>
      </c>
      <c r="D1" s="65" t="s">
        <v>447</v>
      </c>
      <c r="E1" s="65" t="s">
        <v>448</v>
      </c>
      <c r="F1" s="65" t="s">
        <v>449</v>
      </c>
      <c r="G1" s="65" t="s">
        <v>450</v>
      </c>
    </row>
    <row r="2" spans="1:7">
      <c r="A2" s="62">
        <v>45627</v>
      </c>
      <c r="B2" s="63" t="s">
        <v>451</v>
      </c>
      <c r="C2" s="63" t="s">
        <v>452</v>
      </c>
      <c r="D2" s="63">
        <v>360.43</v>
      </c>
      <c r="E2" s="63">
        <v>50</v>
      </c>
      <c r="F2" s="64">
        <f>D2*E2</f>
        <v>18021.5</v>
      </c>
      <c r="G2" s="63" t="s">
        <v>453</v>
      </c>
    </row>
    <row r="3" spans="1:7">
      <c r="A3" s="62">
        <v>45628</v>
      </c>
      <c r="B3" s="63" t="s">
        <v>454</v>
      </c>
      <c r="C3" s="63" t="s">
        <v>455</v>
      </c>
      <c r="D3" s="63">
        <v>456.76</v>
      </c>
      <c r="E3" s="63">
        <v>10</v>
      </c>
      <c r="F3" s="64">
        <f t="shared" ref="F3:F26" si="0">D3*E3</f>
        <v>4567.6000000000004</v>
      </c>
      <c r="G3" s="63" t="s">
        <v>453</v>
      </c>
    </row>
    <row r="4" spans="1:7">
      <c r="A4" s="62">
        <v>45628</v>
      </c>
      <c r="B4" s="63" t="s">
        <v>456</v>
      </c>
      <c r="C4" s="63" t="s">
        <v>457</v>
      </c>
      <c r="D4" s="63">
        <v>4419.38</v>
      </c>
      <c r="E4" s="63">
        <v>10</v>
      </c>
      <c r="F4" s="64">
        <f t="shared" si="0"/>
        <v>44193.8</v>
      </c>
      <c r="G4" s="63" t="s">
        <v>453</v>
      </c>
    </row>
    <row r="5" spans="1:7">
      <c r="A5" s="62">
        <v>45629</v>
      </c>
      <c r="B5" s="63" t="s">
        <v>458</v>
      </c>
      <c r="C5" s="63" t="s">
        <v>459</v>
      </c>
      <c r="D5" s="63">
        <v>476.84</v>
      </c>
      <c r="E5" s="63">
        <v>20</v>
      </c>
      <c r="F5" s="64">
        <f t="shared" si="0"/>
        <v>9536.7999999999993</v>
      </c>
      <c r="G5" s="63" t="s">
        <v>460</v>
      </c>
    </row>
    <row r="6" spans="1:7">
      <c r="A6" s="62">
        <v>45629</v>
      </c>
      <c r="B6" s="63" t="s">
        <v>461</v>
      </c>
      <c r="C6" s="63" t="s">
        <v>462</v>
      </c>
      <c r="D6" s="63">
        <v>477.73</v>
      </c>
      <c r="E6" s="63">
        <v>20</v>
      </c>
      <c r="F6" s="64">
        <f t="shared" si="0"/>
        <v>9554.6</v>
      </c>
      <c r="G6" s="63" t="s">
        <v>460</v>
      </c>
    </row>
    <row r="7" spans="1:7">
      <c r="A7" s="62">
        <v>45630</v>
      </c>
      <c r="B7" s="63" t="s">
        <v>463</v>
      </c>
      <c r="C7" s="63" t="s">
        <v>464</v>
      </c>
      <c r="D7" s="63">
        <v>469.76</v>
      </c>
      <c r="E7" s="63">
        <v>15</v>
      </c>
      <c r="F7" s="64">
        <f t="shared" si="0"/>
        <v>7046.4</v>
      </c>
      <c r="G7" s="63" t="s">
        <v>465</v>
      </c>
    </row>
    <row r="8" spans="1:7">
      <c r="A8" s="62">
        <v>45630</v>
      </c>
      <c r="B8" s="63" t="s">
        <v>466</v>
      </c>
      <c r="C8" s="63" t="s">
        <v>467</v>
      </c>
      <c r="D8" s="63">
        <v>469.76</v>
      </c>
      <c r="E8" s="63">
        <v>5</v>
      </c>
      <c r="F8" s="64">
        <f t="shared" si="0"/>
        <v>2348.8000000000002</v>
      </c>
      <c r="G8" s="63" t="s">
        <v>453</v>
      </c>
    </row>
    <row r="9" spans="1:7">
      <c r="A9" s="62">
        <v>45631</v>
      </c>
      <c r="B9" s="63" t="s">
        <v>468</v>
      </c>
      <c r="C9" s="63" t="s">
        <v>469</v>
      </c>
      <c r="D9" s="63">
        <v>456.76</v>
      </c>
      <c r="E9" s="63">
        <v>30</v>
      </c>
      <c r="F9" s="64">
        <f t="shared" si="0"/>
        <v>13702.8</v>
      </c>
      <c r="G9" s="63" t="s">
        <v>465</v>
      </c>
    </row>
    <row r="10" spans="1:7">
      <c r="A10" s="62">
        <v>45632</v>
      </c>
      <c r="B10" s="63" t="s">
        <v>470</v>
      </c>
      <c r="C10" s="63" t="s">
        <v>471</v>
      </c>
      <c r="D10" s="63">
        <v>1578.14</v>
      </c>
      <c r="E10" s="63">
        <v>20</v>
      </c>
      <c r="F10" s="64">
        <f t="shared" si="0"/>
        <v>31562.800000000003</v>
      </c>
      <c r="G10" s="63" t="s">
        <v>460</v>
      </c>
    </row>
    <row r="11" spans="1:7">
      <c r="A11" s="62">
        <v>45632</v>
      </c>
      <c r="B11" s="63" t="s">
        <v>472</v>
      </c>
      <c r="C11" s="63" t="s">
        <v>473</v>
      </c>
      <c r="D11" s="63">
        <v>723.75</v>
      </c>
      <c r="E11" s="63">
        <v>15</v>
      </c>
      <c r="F11" s="64">
        <f t="shared" si="0"/>
        <v>10856.25</v>
      </c>
      <c r="G11" s="63" t="s">
        <v>453</v>
      </c>
    </row>
    <row r="12" spans="1:7">
      <c r="A12" s="62">
        <v>45633</v>
      </c>
      <c r="B12" s="63" t="s">
        <v>474</v>
      </c>
      <c r="C12" s="63" t="s">
        <v>471</v>
      </c>
      <c r="D12" s="63">
        <v>1578.14</v>
      </c>
      <c r="E12" s="63">
        <v>10</v>
      </c>
      <c r="F12" s="64">
        <f t="shared" si="0"/>
        <v>15781.400000000001</v>
      </c>
      <c r="G12" s="63" t="s">
        <v>465</v>
      </c>
    </row>
    <row r="13" spans="1:7">
      <c r="A13" s="62">
        <v>45633</v>
      </c>
      <c r="B13" s="63" t="s">
        <v>475</v>
      </c>
      <c r="C13" s="63" t="s">
        <v>462</v>
      </c>
      <c r="D13" s="63">
        <v>477.73</v>
      </c>
      <c r="E13" s="63">
        <v>20</v>
      </c>
      <c r="F13" s="64">
        <f t="shared" si="0"/>
        <v>9554.6</v>
      </c>
      <c r="G13" s="63" t="s">
        <v>460</v>
      </c>
    </row>
    <row r="14" spans="1:7">
      <c r="A14" s="62">
        <v>45633</v>
      </c>
      <c r="B14" s="63" t="s">
        <v>476</v>
      </c>
      <c r="C14" s="63" t="s">
        <v>459</v>
      </c>
      <c r="D14" s="63">
        <v>476.84</v>
      </c>
      <c r="E14" s="63">
        <v>15</v>
      </c>
      <c r="F14" s="64">
        <f t="shared" si="0"/>
        <v>7152.5999999999995</v>
      </c>
      <c r="G14" s="63" t="s">
        <v>465</v>
      </c>
    </row>
    <row r="15" spans="1:7">
      <c r="A15" s="62">
        <v>45634</v>
      </c>
      <c r="B15" s="63" t="s">
        <v>477</v>
      </c>
      <c r="C15" s="63" t="s">
        <v>473</v>
      </c>
      <c r="D15" s="63">
        <v>723.75</v>
      </c>
      <c r="E15" s="63">
        <v>20</v>
      </c>
      <c r="F15" s="64">
        <f t="shared" si="0"/>
        <v>14475</v>
      </c>
      <c r="G15" s="63" t="s">
        <v>465</v>
      </c>
    </row>
    <row r="16" spans="1:7">
      <c r="A16" s="62">
        <v>45634</v>
      </c>
      <c r="B16" s="63" t="s">
        <v>478</v>
      </c>
      <c r="C16" s="63" t="s">
        <v>452</v>
      </c>
      <c r="D16" s="63">
        <v>360.43</v>
      </c>
      <c r="E16" s="63">
        <v>50</v>
      </c>
      <c r="F16" s="64">
        <f t="shared" si="0"/>
        <v>18021.5</v>
      </c>
      <c r="G16" s="63" t="s">
        <v>465</v>
      </c>
    </row>
    <row r="17" spans="1:7">
      <c r="A17" s="62">
        <v>45634</v>
      </c>
      <c r="B17" s="63" t="s">
        <v>479</v>
      </c>
      <c r="C17" s="63" t="s">
        <v>464</v>
      </c>
      <c r="D17" s="63">
        <v>469.76</v>
      </c>
      <c r="E17" s="63">
        <v>10</v>
      </c>
      <c r="F17" s="64">
        <f t="shared" si="0"/>
        <v>4697.6000000000004</v>
      </c>
      <c r="G17" s="63" t="s">
        <v>453</v>
      </c>
    </row>
    <row r="18" spans="1:7">
      <c r="A18" s="62">
        <v>45635</v>
      </c>
      <c r="B18" s="63" t="s">
        <v>480</v>
      </c>
      <c r="C18" s="63" t="s">
        <v>459</v>
      </c>
      <c r="D18" s="63">
        <v>476.84</v>
      </c>
      <c r="E18" s="63">
        <v>10</v>
      </c>
      <c r="F18" s="64">
        <f t="shared" si="0"/>
        <v>4768.3999999999996</v>
      </c>
      <c r="G18" s="63" t="s">
        <v>460</v>
      </c>
    </row>
    <row r="19" spans="1:7">
      <c r="A19" s="62">
        <v>45636</v>
      </c>
      <c r="B19" s="63" t="s">
        <v>479</v>
      </c>
      <c r="C19" s="63" t="s">
        <v>462</v>
      </c>
      <c r="D19" s="63">
        <v>477.73</v>
      </c>
      <c r="E19" s="63">
        <v>15</v>
      </c>
      <c r="F19" s="64">
        <f t="shared" si="0"/>
        <v>7165.9500000000007</v>
      </c>
      <c r="G19" s="63" t="s">
        <v>453</v>
      </c>
    </row>
    <row r="20" spans="1:7">
      <c r="A20" s="62">
        <v>45637</v>
      </c>
      <c r="B20" s="63" t="s">
        <v>481</v>
      </c>
      <c r="C20" s="63" t="s">
        <v>473</v>
      </c>
      <c r="D20" s="63">
        <v>723.75</v>
      </c>
      <c r="E20" s="63">
        <v>5</v>
      </c>
      <c r="F20" s="64">
        <f t="shared" si="0"/>
        <v>3618.75</v>
      </c>
      <c r="G20" s="63" t="s">
        <v>453</v>
      </c>
    </row>
    <row r="21" spans="1:7">
      <c r="A21" s="62">
        <v>45637</v>
      </c>
      <c r="B21" s="63" t="s">
        <v>482</v>
      </c>
      <c r="C21" s="63" t="s">
        <v>455</v>
      </c>
      <c r="D21" s="63">
        <v>456.76</v>
      </c>
      <c r="E21" s="63">
        <v>5</v>
      </c>
      <c r="F21" s="64">
        <f t="shared" si="0"/>
        <v>2283.8000000000002</v>
      </c>
      <c r="G21" s="63" t="s">
        <v>453</v>
      </c>
    </row>
    <row r="22" spans="1:7">
      <c r="A22" s="62">
        <v>45638</v>
      </c>
      <c r="B22" s="63" t="s">
        <v>483</v>
      </c>
      <c r="C22" s="63" t="s">
        <v>464</v>
      </c>
      <c r="D22" s="63">
        <v>469.76</v>
      </c>
      <c r="E22" s="63">
        <v>10</v>
      </c>
      <c r="F22" s="64">
        <f t="shared" si="0"/>
        <v>4697.6000000000004</v>
      </c>
      <c r="G22" s="63" t="s">
        <v>460</v>
      </c>
    </row>
    <row r="23" spans="1:7">
      <c r="A23" s="62">
        <v>45638</v>
      </c>
      <c r="B23" s="63" t="s">
        <v>484</v>
      </c>
      <c r="C23" s="63" t="s">
        <v>455</v>
      </c>
      <c r="D23" s="63">
        <v>456.76</v>
      </c>
      <c r="E23" s="63">
        <v>15</v>
      </c>
      <c r="F23" s="64">
        <f t="shared" si="0"/>
        <v>6851.4</v>
      </c>
      <c r="G23" s="63" t="s">
        <v>460</v>
      </c>
    </row>
    <row r="24" spans="1:7">
      <c r="A24" s="62">
        <v>45639</v>
      </c>
      <c r="B24" s="63" t="s">
        <v>485</v>
      </c>
      <c r="C24" s="63" t="s">
        <v>452</v>
      </c>
      <c r="D24" s="63">
        <v>360.43</v>
      </c>
      <c r="E24" s="63">
        <v>20</v>
      </c>
      <c r="F24" s="64">
        <f t="shared" si="0"/>
        <v>7208.6</v>
      </c>
      <c r="G24" s="63" t="s">
        <v>460</v>
      </c>
    </row>
    <row r="25" spans="1:7">
      <c r="A25" s="62">
        <v>45640</v>
      </c>
      <c r="B25" s="63" t="s">
        <v>486</v>
      </c>
      <c r="C25" s="63" t="s">
        <v>464</v>
      </c>
      <c r="D25" s="63">
        <v>469.76</v>
      </c>
      <c r="E25" s="63">
        <v>30</v>
      </c>
      <c r="F25" s="64">
        <f t="shared" si="0"/>
        <v>14092.8</v>
      </c>
      <c r="G25" s="63" t="s">
        <v>453</v>
      </c>
    </row>
    <row r="26" spans="1:7">
      <c r="A26" s="62">
        <v>45640</v>
      </c>
      <c r="B26" s="63" t="s">
        <v>487</v>
      </c>
      <c r="C26" s="63" t="s">
        <v>471</v>
      </c>
      <c r="D26" s="63">
        <v>1578.14</v>
      </c>
      <c r="E26" s="63">
        <v>30</v>
      </c>
      <c r="F26" s="64">
        <f t="shared" si="0"/>
        <v>47344.200000000004</v>
      </c>
      <c r="G26" s="63" t="s">
        <v>453</v>
      </c>
    </row>
    <row r="40" spans="1:3" ht="15">
      <c r="A40" s="85" t="s">
        <v>446</v>
      </c>
      <c r="B40" t="s">
        <v>488</v>
      </c>
      <c r="C40" t="s">
        <v>489</v>
      </c>
    </row>
    <row r="41" spans="1:3" ht="15">
      <c r="A41" t="s">
        <v>455</v>
      </c>
      <c r="B41" s="86">
        <v>2</v>
      </c>
      <c r="C41" s="88">
        <v>6851.4000000000005</v>
      </c>
    </row>
    <row r="42" spans="1:3" ht="15">
      <c r="A42" t="s">
        <v>462</v>
      </c>
      <c r="B42" s="86">
        <v>1</v>
      </c>
      <c r="C42" s="88">
        <v>7165.9500000000007</v>
      </c>
    </row>
    <row r="43" spans="1:3" ht="15">
      <c r="A43" t="s">
        <v>36</v>
      </c>
      <c r="B43" s="86">
        <v>3</v>
      </c>
      <c r="C43" s="88">
        <v>14017.350000000002</v>
      </c>
    </row>
    <row r="44" spans="1:3" ht="15">
      <c r="A44"/>
      <c r="B44"/>
      <c r="C44"/>
    </row>
    <row r="45" spans="1:3" ht="15">
      <c r="A45"/>
      <c r="B45"/>
      <c r="C45"/>
    </row>
    <row r="46" spans="1:3" ht="15">
      <c r="A46"/>
      <c r="B46"/>
      <c r="C46"/>
    </row>
    <row r="47" spans="1:3" ht="15">
      <c r="A47"/>
      <c r="B47"/>
      <c r="C47"/>
    </row>
    <row r="48" spans="1:3" ht="15">
      <c r="A48"/>
      <c r="B48"/>
      <c r="C48"/>
    </row>
    <row r="49" spans="1:3" ht="15">
      <c r="A49"/>
      <c r="B49"/>
      <c r="C49"/>
    </row>
    <row r="50" spans="1:3" ht="15">
      <c r="A50"/>
      <c r="B50"/>
      <c r="C50"/>
    </row>
    <row r="51" spans="1:3" ht="15">
      <c r="A51"/>
      <c r="B51"/>
      <c r="C51"/>
    </row>
    <row r="52" spans="1:3" ht="15">
      <c r="A52"/>
      <c r="B52"/>
      <c r="C52"/>
    </row>
    <row r="53" spans="1:3" ht="15">
      <c r="A53"/>
      <c r="B53"/>
      <c r="C53"/>
    </row>
    <row r="54" spans="1:3" ht="15">
      <c r="A54"/>
      <c r="B54"/>
      <c r="C54"/>
    </row>
    <row r="55" spans="1:3" ht="15">
      <c r="A55"/>
      <c r="B55"/>
      <c r="C55"/>
    </row>
    <row r="56" spans="1:3" ht="15">
      <c r="A56"/>
      <c r="B56"/>
      <c r="C56"/>
    </row>
    <row r="57" spans="1:3" ht="15">
      <c r="A57"/>
      <c r="B57"/>
      <c r="C5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Panik</dc:creator>
  <cp:keywords/>
  <dc:description/>
  <cp:lastModifiedBy/>
  <cp:revision/>
  <dcterms:created xsi:type="dcterms:W3CDTF">2023-09-22T16:45:17Z</dcterms:created>
  <dcterms:modified xsi:type="dcterms:W3CDTF">2026-02-19T23:29:48Z</dcterms:modified>
  <cp:category/>
  <cp:contentStatus/>
</cp:coreProperties>
</file>