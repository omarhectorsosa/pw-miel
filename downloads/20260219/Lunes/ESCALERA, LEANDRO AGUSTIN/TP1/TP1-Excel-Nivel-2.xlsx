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axdo\Desktop\Computacion\Tercera Entrega\TP1\"/>
    </mc:Choice>
  </mc:AlternateContent>
  <xr:revisionPtr revIDLastSave="0" documentId="13_ncr:1_{D48747B3-5541-475F-B180-5173C20159C2}" xr6:coauthVersionLast="47" xr6:coauthVersionMax="47" xr10:uidLastSave="{00000000-0000-0000-0000-000000000000}"/>
  <bookViews>
    <workbookView xWindow="-120" yWindow="-120" windowWidth="29040" windowHeight="15840" xr2:uid="{A31E438D-D559-42EA-ABF3-2D38F3848BBD}"/>
  </bookViews>
  <sheets>
    <sheet name="Inscripciones" sheetId="1" r:id="rId1"/>
    <sheet name="Materias" sheetId="2" r:id="rId2"/>
    <sheet name="Departamentos" sheetId="3" r:id="rId3"/>
  </sheets>
  <definedNames>
    <definedName name="_xlnm._FilterDatabase" localSheetId="0" hidden="1">Inscripciones!$A$4:$I$16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5" i="1"/>
  <c r="H14" i="1"/>
  <c r="H9" i="1"/>
  <c r="H8" i="1"/>
  <c r="H7" i="1"/>
  <c r="H15" i="1"/>
  <c r="H6" i="1"/>
  <c r="H16" i="1"/>
  <c r="H13" i="1"/>
  <c r="H12" i="1"/>
  <c r="H11" i="1"/>
  <c r="H10" i="1"/>
  <c r="H5" i="1"/>
  <c r="G14" i="1"/>
  <c r="G9" i="1"/>
  <c r="G8" i="1"/>
  <c r="G7" i="1"/>
  <c r="G15" i="1"/>
  <c r="G6" i="1"/>
  <c r="G16" i="1"/>
  <c r="G13" i="1"/>
  <c r="G12" i="1"/>
  <c r="G11" i="1"/>
  <c r="G10" i="1"/>
  <c r="G5" i="1"/>
  <c r="F14" i="1"/>
  <c r="F9" i="1"/>
  <c r="F8" i="1"/>
  <c r="F7" i="1"/>
  <c r="F15" i="1"/>
  <c r="F6" i="1"/>
  <c r="F16" i="1"/>
  <c r="F13" i="1"/>
  <c r="F12" i="1"/>
  <c r="F11" i="1"/>
  <c r="F10" i="1"/>
  <c r="F5" i="1"/>
  <c r="B5" i="1"/>
  <c r="B14" i="1"/>
  <c r="B9" i="1"/>
  <c r="B8" i="1"/>
  <c r="B7" i="1"/>
  <c r="B15" i="1"/>
  <c r="B6" i="1"/>
  <c r="B16" i="1"/>
  <c r="B13" i="1"/>
  <c r="B12" i="1"/>
  <c r="B11" i="1"/>
  <c r="B10" i="1"/>
  <c r="C14" i="1"/>
  <c r="C9" i="1"/>
  <c r="C8" i="1"/>
  <c r="C7" i="1"/>
  <c r="C15" i="1"/>
  <c r="C6" i="1"/>
  <c r="C16" i="1"/>
  <c r="C13" i="1"/>
  <c r="C12" i="1"/>
  <c r="C11" i="1"/>
  <c r="C10" i="1"/>
  <c r="C5" i="1"/>
</calcChain>
</file>

<file path=xl/sharedStrings.xml><?xml version="1.0" encoding="utf-8"?>
<sst xmlns="http://schemas.openxmlformats.org/spreadsheetml/2006/main" count="48" uniqueCount="33">
  <si>
    <t>EXAMENES FINALES</t>
  </si>
  <si>
    <t>Codigo de Materia</t>
  </si>
  <si>
    <t>Materia</t>
  </si>
  <si>
    <t>Departamento</t>
  </si>
  <si>
    <t>Fecha de Examen</t>
  </si>
  <si>
    <t>Cantidad de inscriptos</t>
  </si>
  <si>
    <t>Condicion</t>
  </si>
  <si>
    <t>Aula asignada</t>
  </si>
  <si>
    <t>Publicacion de notas</t>
  </si>
  <si>
    <t>Importe d einscripciones</t>
  </si>
  <si>
    <t>Codigo de materia</t>
  </si>
  <si>
    <t>Codigo de Departamento</t>
  </si>
  <si>
    <t>Derecho publico</t>
  </si>
  <si>
    <t>Derecho Penal</t>
  </si>
  <si>
    <t>Derecho Civil</t>
  </si>
  <si>
    <t>Sistemas Operativos</t>
  </si>
  <si>
    <t>Analisis Matematico</t>
  </si>
  <si>
    <t>Computacion I</t>
  </si>
  <si>
    <t>Estadistica</t>
  </si>
  <si>
    <t>Ingles I</t>
  </si>
  <si>
    <t>Anatomia I</t>
  </si>
  <si>
    <t>Biologia I</t>
  </si>
  <si>
    <t>Enfermeria</t>
  </si>
  <si>
    <t>Computacion II</t>
  </si>
  <si>
    <t>A</t>
  </si>
  <si>
    <t>B</t>
  </si>
  <si>
    <t>C</t>
  </si>
  <si>
    <t>D</t>
  </si>
  <si>
    <t>Arancel</t>
  </si>
  <si>
    <t xml:space="preserve">Derecho </t>
  </si>
  <si>
    <t>Ingenieria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</si>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</sst>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2B1C0-FD30-429A-A4A3-FFF62E869432}">
  <sheetPr>
    <tabColor rgb="FFC00000"/>
  </sheetPr>
  <dimension ref="A2:I16"/>
  <sheetViews>
    <sheetView tabSelected="1" workbookViewId="0">
      <selection activeCell="K9" sqref="K9"/>
    </sheetView>
  </sheetViews>
  <sheetFormatPr baseColWidth="10" defaultRowHeight="15" x14ac:dyDescent="0.25"/>
  <cols>
    <col min="2" max="2" width="11.7109375" customWidth="1"/>
    <col min="6" max="7" width="11.7109375" bestFit="1" customWidth="1"/>
    <col min="9" max="9" width="11.7109375" bestFit="1" customWidth="1"/>
  </cols>
  <sheetData>
    <row r="2" spans="1:9" x14ac:dyDescent="0.25">
      <c r="A2" t="s">
        <v>0</v>
      </c>
    </row>
    <row r="4" spans="1:9" s="1" customFormat="1" ht="45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1:9" x14ac:dyDescent="0.25">
      <c r="A5" s="4">
        <v>1120</v>
      </c>
      <c r="B5" s="4" t="str">
        <f>VLOOKUP(A5,Materias!$B$3:$D$15,2,0)</f>
        <v>Analisis Matematico</v>
      </c>
      <c r="C5" s="4" t="str">
        <f>VLOOKUP((VLOOKUP(A5,Materias!$B$3:$D$15,3,0)),Departamentos!$B$4:$D$8,2,0)</f>
        <v>Ingenieria</v>
      </c>
      <c r="D5" s="5">
        <v>42566</v>
      </c>
      <c r="E5" s="4">
        <v>232</v>
      </c>
      <c r="F5" s="4" t="str">
        <f t="shared" ref="F5:F16" si="0">IF(E5&lt;150,"BAJA",IF(E5&lt;200,"NORMAL","ALTA"))</f>
        <v>ALTA</v>
      </c>
      <c r="G5" s="4">
        <f t="shared" ref="G5:G16" si="1">IF(AND(E5&lt;180,D5&gt;DATE(2016,7,15)),805,812)</f>
        <v>812</v>
      </c>
      <c r="H5" s="5">
        <f t="shared" ref="H5:H16" si="2">D5+ROUNDUP(E5/10,0)</f>
        <v>42590</v>
      </c>
      <c r="I5" s="4">
        <f>VLOOKUP(C5,Departamentos!$C$4:$D$8,2,0)*E5</f>
        <v>41760</v>
      </c>
    </row>
    <row r="6" spans="1:9" x14ac:dyDescent="0.25">
      <c r="A6" s="4">
        <v>1300</v>
      </c>
      <c r="B6" s="4" t="str">
        <f>VLOOKUP(A6,Materias!$B$3:$D$15,2,0)</f>
        <v>Ingles I</v>
      </c>
      <c r="C6" s="4" t="str">
        <f>VLOOKUP((VLOOKUP(A6,Materias!$B$3:$D$15,3,0)),Departamentos!$B$4:$D$8,2,0)</f>
        <v>Economicas</v>
      </c>
      <c r="D6" s="5">
        <v>42578</v>
      </c>
      <c r="E6" s="4">
        <v>215</v>
      </c>
      <c r="F6" s="4" t="str">
        <f t="shared" si="0"/>
        <v>ALTA</v>
      </c>
      <c r="G6" s="4">
        <f t="shared" si="1"/>
        <v>812</v>
      </c>
      <c r="H6" s="5">
        <f t="shared" si="2"/>
        <v>42600</v>
      </c>
      <c r="I6" s="4">
        <f>VLOOKUP(C6,Departamentos!$C$4:$D$8,2,0)*E6</f>
        <v>53750</v>
      </c>
    </row>
    <row r="7" spans="1:9" x14ac:dyDescent="0.25">
      <c r="A7" s="4">
        <v>1010</v>
      </c>
      <c r="B7" s="4" t="str">
        <f>VLOOKUP(A7,Materias!$B$3:$D$15,2,0)</f>
        <v>Derecho publico</v>
      </c>
      <c r="C7" s="4" t="str">
        <f>VLOOKUP((VLOOKUP(A7,Materias!$B$3:$D$15,3,0)),Departamentos!$B$4:$D$8,2,0)</f>
        <v xml:space="preserve">Derecho </v>
      </c>
      <c r="D7" s="5">
        <v>42569</v>
      </c>
      <c r="E7" s="4">
        <v>202</v>
      </c>
      <c r="F7" s="4" t="str">
        <f t="shared" si="0"/>
        <v>ALTA</v>
      </c>
      <c r="G7" s="4">
        <f t="shared" si="1"/>
        <v>812</v>
      </c>
      <c r="H7" s="5">
        <f t="shared" si="2"/>
        <v>42590</v>
      </c>
      <c r="I7" s="4">
        <f>VLOOKUP(C7,Departamentos!$C$4:$D$8,2,0)*E7</f>
        <v>44440</v>
      </c>
    </row>
    <row r="8" spans="1:9" x14ac:dyDescent="0.25">
      <c r="A8" s="4">
        <v>1250</v>
      </c>
      <c r="B8" s="4" t="str">
        <f>VLOOKUP(A8,Materias!$B$3:$D$15,2,0)</f>
        <v>Computacion II</v>
      </c>
      <c r="C8" s="4" t="str">
        <f>VLOOKUP((VLOOKUP(A8,Materias!$B$3:$D$15,3,0)),Departamentos!$B$4:$D$8,2,0)</f>
        <v>Economicas</v>
      </c>
      <c r="D8" s="5">
        <v>42558</v>
      </c>
      <c r="E8" s="4">
        <v>196</v>
      </c>
      <c r="F8" s="4" t="str">
        <f t="shared" si="0"/>
        <v>NORMAL</v>
      </c>
      <c r="G8" s="4">
        <f t="shared" si="1"/>
        <v>812</v>
      </c>
      <c r="H8" s="5">
        <f t="shared" si="2"/>
        <v>42578</v>
      </c>
      <c r="I8" s="4">
        <f>VLOOKUP(C8,Departamentos!$C$4:$D$8,2,0)*E8</f>
        <v>49000</v>
      </c>
    </row>
    <row r="9" spans="1:9" x14ac:dyDescent="0.25">
      <c r="A9" s="4">
        <v>1150</v>
      </c>
      <c r="B9" s="4" t="str">
        <f>VLOOKUP(A9,Materias!$B$3:$D$15,2,0)</f>
        <v>Computacion I</v>
      </c>
      <c r="C9" s="4" t="str">
        <f>VLOOKUP((VLOOKUP(A9,Materias!$B$3:$D$15,3,0)),Departamentos!$B$4:$D$8,2,0)</f>
        <v>Economicas</v>
      </c>
      <c r="D9" s="5">
        <v>42562</v>
      </c>
      <c r="E9" s="4">
        <v>175</v>
      </c>
      <c r="F9" s="4" t="str">
        <f t="shared" si="0"/>
        <v>NORMAL</v>
      </c>
      <c r="G9" s="4">
        <f t="shared" si="1"/>
        <v>812</v>
      </c>
      <c r="H9" s="5">
        <f t="shared" si="2"/>
        <v>42580</v>
      </c>
      <c r="I9" s="4">
        <f>VLOOKUP(C9,Departamentos!$C$4:$D$8,2,0)*E9</f>
        <v>43750</v>
      </c>
    </row>
    <row r="10" spans="1:9" x14ac:dyDescent="0.25">
      <c r="A10" s="4">
        <v>1860</v>
      </c>
      <c r="B10" s="4" t="str">
        <f>VLOOKUP(A10,Materias!$B$3:$D$15,2,0)</f>
        <v>Enfermeria</v>
      </c>
      <c r="C10" s="4" t="str">
        <f>VLOOKUP((VLOOKUP(A10,Materias!$B$3:$D$15,3,0)),Departamentos!$B$4:$D$8,2,0)</f>
        <v>Medicina</v>
      </c>
      <c r="D10" s="5">
        <v>42575</v>
      </c>
      <c r="E10" s="4">
        <v>171</v>
      </c>
      <c r="F10" s="4" t="str">
        <f t="shared" si="0"/>
        <v>NORMAL</v>
      </c>
      <c r="G10" s="4">
        <f t="shared" si="1"/>
        <v>805</v>
      </c>
      <c r="H10" s="5">
        <f t="shared" si="2"/>
        <v>42593</v>
      </c>
      <c r="I10" s="4">
        <f>VLOOKUP(C10,Departamentos!$C$4:$D$8,2,0)*E10</f>
        <v>51300</v>
      </c>
    </row>
    <row r="11" spans="1:9" x14ac:dyDescent="0.25">
      <c r="A11" s="4">
        <v>1850</v>
      </c>
      <c r="B11" s="4" t="str">
        <f>VLOOKUP(A11,Materias!$B$3:$D$15,2,0)</f>
        <v>Biologia I</v>
      </c>
      <c r="C11" s="4" t="str">
        <f>VLOOKUP((VLOOKUP(A11,Materias!$B$3:$D$15,3,0)),Departamentos!$B$4:$D$8,2,0)</f>
        <v>Medicina</v>
      </c>
      <c r="D11" s="5">
        <v>42574</v>
      </c>
      <c r="E11" s="4">
        <v>170</v>
      </c>
      <c r="F11" s="4" t="str">
        <f t="shared" si="0"/>
        <v>NORMAL</v>
      </c>
      <c r="G11" s="4">
        <f t="shared" si="1"/>
        <v>805</v>
      </c>
      <c r="H11" s="5">
        <f t="shared" si="2"/>
        <v>42591</v>
      </c>
      <c r="I11" s="4">
        <f>VLOOKUP(C11,Departamentos!$C$4:$D$8,2,0)*E11</f>
        <v>51000</v>
      </c>
    </row>
    <row r="12" spans="1:9" x14ac:dyDescent="0.25">
      <c r="A12" s="4">
        <v>1825</v>
      </c>
      <c r="B12" s="4" t="str">
        <f>VLOOKUP(A12,Materias!$B$3:$D$15,2,0)</f>
        <v>Anatomia I</v>
      </c>
      <c r="C12" s="4" t="str">
        <f>VLOOKUP((VLOOKUP(A12,Materias!$B$3:$D$15,3,0)),Departamentos!$B$4:$D$8,2,0)</f>
        <v>Medicina</v>
      </c>
      <c r="D12" s="5">
        <v>42573</v>
      </c>
      <c r="E12" s="4">
        <v>169</v>
      </c>
      <c r="F12" s="4" t="str">
        <f t="shared" si="0"/>
        <v>NORMAL</v>
      </c>
      <c r="G12" s="4">
        <f t="shared" si="1"/>
        <v>805</v>
      </c>
      <c r="H12" s="5">
        <f t="shared" si="2"/>
        <v>42590</v>
      </c>
      <c r="I12" s="4">
        <f>VLOOKUP(C12,Departamentos!$C$4:$D$8,2,0)*E12</f>
        <v>50700</v>
      </c>
    </row>
    <row r="13" spans="1:9" x14ac:dyDescent="0.25">
      <c r="A13" s="4">
        <v>1280</v>
      </c>
      <c r="B13" s="4" t="str">
        <f>VLOOKUP(A13,Materias!$B$3:$D$15,2,0)</f>
        <v>Derecho Penal</v>
      </c>
      <c r="C13" s="4" t="str">
        <f>VLOOKUP((VLOOKUP(A13,Materias!$B$3:$D$15,3,0)),Departamentos!$B$4:$D$8,2,0)</f>
        <v xml:space="preserve">Derecho </v>
      </c>
      <c r="D13" s="5">
        <v>42572</v>
      </c>
      <c r="E13" s="4">
        <v>168</v>
      </c>
      <c r="F13" s="4" t="str">
        <f t="shared" si="0"/>
        <v>NORMAL</v>
      </c>
      <c r="G13" s="4">
        <f t="shared" si="1"/>
        <v>805</v>
      </c>
      <c r="H13" s="5">
        <f t="shared" si="2"/>
        <v>42589</v>
      </c>
      <c r="I13" s="4">
        <f>VLOOKUP(C13,Departamentos!$C$4:$D$8,2,0)*E13</f>
        <v>36960</v>
      </c>
    </row>
    <row r="14" spans="1:9" x14ac:dyDescent="0.25">
      <c r="A14" s="4">
        <v>1200</v>
      </c>
      <c r="B14" s="4" t="str">
        <f>VLOOKUP(A14,Materias!$B$3:$D$15,2,0)</f>
        <v>Estadistica</v>
      </c>
      <c r="C14" s="4" t="str">
        <f>VLOOKUP((VLOOKUP(A14,Materias!$B$3:$D$15,3,0)),Departamentos!$B$4:$D$8,2,0)</f>
        <v>Economicas</v>
      </c>
      <c r="D14" s="5">
        <v>42571</v>
      </c>
      <c r="E14" s="4">
        <v>158</v>
      </c>
      <c r="F14" s="4" t="str">
        <f t="shared" si="0"/>
        <v>NORMAL</v>
      </c>
      <c r="G14" s="4">
        <f t="shared" si="1"/>
        <v>805</v>
      </c>
      <c r="H14" s="5">
        <f t="shared" si="2"/>
        <v>42587</v>
      </c>
      <c r="I14" s="4">
        <f>VLOOKUP(C14,Departamentos!$C$4:$D$8,2,0)*E14</f>
        <v>39500</v>
      </c>
    </row>
    <row r="15" spans="1:9" x14ac:dyDescent="0.25">
      <c r="A15" s="4">
        <v>1080</v>
      </c>
      <c r="B15" s="4" t="str">
        <f>VLOOKUP(A15,Materias!$B$3:$D$15,2,0)</f>
        <v>Sistemas Operativos</v>
      </c>
      <c r="C15" s="4" t="str">
        <f>VLOOKUP((VLOOKUP(A15,Materias!$B$3:$D$15,3,0)),Departamentos!$B$4:$D$8,2,0)</f>
        <v>Ingenieria</v>
      </c>
      <c r="D15" s="5">
        <v>42574</v>
      </c>
      <c r="E15" s="4">
        <v>141</v>
      </c>
      <c r="F15" s="4" t="str">
        <f t="shared" si="0"/>
        <v>BAJA</v>
      </c>
      <c r="G15" s="4">
        <f t="shared" si="1"/>
        <v>805</v>
      </c>
      <c r="H15" s="5">
        <f t="shared" si="2"/>
        <v>42589</v>
      </c>
      <c r="I15" s="4">
        <f>VLOOKUP(C15,Departamentos!$C$4:$D$8,2,0)*E15</f>
        <v>25380</v>
      </c>
    </row>
    <row r="16" spans="1:9" x14ac:dyDescent="0.25">
      <c r="A16" s="4">
        <v>1420</v>
      </c>
      <c r="B16" s="4" t="str">
        <f>VLOOKUP(A16,Materias!$B$3:$D$15,2,0)</f>
        <v>Derecho Civil</v>
      </c>
      <c r="C16" s="4" t="str">
        <f>VLOOKUP((VLOOKUP(A16,Materias!$B$3:$D$15,3,0)),Departamentos!$B$4:$D$8,2,0)</f>
        <v xml:space="preserve">Derecho </v>
      </c>
      <c r="D16" s="5">
        <v>42564</v>
      </c>
      <c r="E16" s="4">
        <v>136</v>
      </c>
      <c r="F16" s="4" t="str">
        <f t="shared" si="0"/>
        <v>BAJA</v>
      </c>
      <c r="G16" s="4">
        <f t="shared" si="1"/>
        <v>812</v>
      </c>
      <c r="H16" s="5">
        <f t="shared" si="2"/>
        <v>42578</v>
      </c>
      <c r="I16" s="4">
        <f>VLOOKUP(C16,Departamentos!$C$4:$D$8,2,0)*E16</f>
        <v>29920</v>
      </c>
    </row>
  </sheetData>
  <sortState xmlns:xlrd2="http://schemas.microsoft.com/office/spreadsheetml/2017/richdata2" ref="A5:I16">
    <sortCondition descending="1" ref="E5:E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E53E-862C-4252-A709-864261FF03AC}">
  <sheetPr>
    <tabColor rgb="FFFFFF00"/>
  </sheetPr>
  <dimension ref="B3:D15"/>
  <sheetViews>
    <sheetView workbookViewId="0">
      <selection activeCell="B3" sqref="B3:D15"/>
    </sheetView>
  </sheetViews>
  <sheetFormatPr baseColWidth="10" defaultRowHeight="15" x14ac:dyDescent="0.25"/>
  <cols>
    <col min="2" max="2" width="17.140625" bestFit="1" customWidth="1"/>
    <col min="3" max="3" width="19.140625" bestFit="1" customWidth="1"/>
    <col min="4" max="4" width="23" bestFit="1" customWidth="1"/>
  </cols>
  <sheetData>
    <row r="3" spans="2:4" s="2" customFormat="1" x14ac:dyDescent="0.25">
      <c r="B3" s="6" t="s">
        <v>10</v>
      </c>
      <c r="C3" s="6" t="s">
        <v>2</v>
      </c>
      <c r="D3" s="6" t="s">
        <v>11</v>
      </c>
    </row>
    <row r="4" spans="2:4" x14ac:dyDescent="0.25">
      <c r="B4" s="4">
        <v>1010</v>
      </c>
      <c r="C4" s="4" t="s">
        <v>12</v>
      </c>
      <c r="D4" s="4" t="s">
        <v>24</v>
      </c>
    </row>
    <row r="5" spans="2:4" x14ac:dyDescent="0.25">
      <c r="B5" s="4">
        <v>1280</v>
      </c>
      <c r="C5" s="4" t="s">
        <v>13</v>
      </c>
      <c r="D5" s="4" t="s">
        <v>24</v>
      </c>
    </row>
    <row r="6" spans="2:4" x14ac:dyDescent="0.25">
      <c r="B6" s="4">
        <v>1420</v>
      </c>
      <c r="C6" s="4" t="s">
        <v>14</v>
      </c>
      <c r="D6" s="4" t="s">
        <v>24</v>
      </c>
    </row>
    <row r="7" spans="2:4" x14ac:dyDescent="0.25">
      <c r="B7" s="4">
        <v>1080</v>
      </c>
      <c r="C7" s="4" t="s">
        <v>15</v>
      </c>
      <c r="D7" s="4" t="s">
        <v>25</v>
      </c>
    </row>
    <row r="8" spans="2:4" x14ac:dyDescent="0.25">
      <c r="B8" s="4">
        <v>1120</v>
      </c>
      <c r="C8" s="4" t="s">
        <v>16</v>
      </c>
      <c r="D8" s="4" t="s">
        <v>25</v>
      </c>
    </row>
    <row r="9" spans="2:4" x14ac:dyDescent="0.25">
      <c r="B9" s="4">
        <v>1150</v>
      </c>
      <c r="C9" s="4" t="s">
        <v>17</v>
      </c>
      <c r="D9" s="4" t="s">
        <v>26</v>
      </c>
    </row>
    <row r="10" spans="2:4" x14ac:dyDescent="0.25">
      <c r="B10" s="4">
        <v>1200</v>
      </c>
      <c r="C10" s="4" t="s">
        <v>18</v>
      </c>
      <c r="D10" s="4" t="s">
        <v>26</v>
      </c>
    </row>
    <row r="11" spans="2:4" x14ac:dyDescent="0.25">
      <c r="B11" s="4">
        <v>1250</v>
      </c>
      <c r="C11" s="4" t="s">
        <v>23</v>
      </c>
      <c r="D11" s="4" t="s">
        <v>26</v>
      </c>
    </row>
    <row r="12" spans="2:4" x14ac:dyDescent="0.25">
      <c r="B12" s="4">
        <v>1300</v>
      </c>
      <c r="C12" s="4" t="s">
        <v>19</v>
      </c>
      <c r="D12" s="4" t="s">
        <v>26</v>
      </c>
    </row>
    <row r="13" spans="2:4" x14ac:dyDescent="0.25">
      <c r="B13" s="4">
        <v>1825</v>
      </c>
      <c r="C13" s="4" t="s">
        <v>20</v>
      </c>
      <c r="D13" s="4" t="s">
        <v>27</v>
      </c>
    </row>
    <row r="14" spans="2:4" x14ac:dyDescent="0.25">
      <c r="B14" s="4">
        <v>1850</v>
      </c>
      <c r="C14" s="4" t="s">
        <v>21</v>
      </c>
      <c r="D14" s="4" t="s">
        <v>27</v>
      </c>
    </row>
    <row r="15" spans="2:4" x14ac:dyDescent="0.25">
      <c r="B15" s="4">
        <v>1860</v>
      </c>
      <c r="C15" s="4" t="s">
        <v>22</v>
      </c>
      <c r="D15" s="4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AB355-134A-4CFA-B340-F5F26DEEC41E}">
  <sheetPr>
    <tabColor rgb="FF92D050"/>
  </sheetPr>
  <dimension ref="B4:D8"/>
  <sheetViews>
    <sheetView workbookViewId="0">
      <selection activeCell="F10" sqref="F10"/>
    </sheetView>
  </sheetViews>
  <sheetFormatPr baseColWidth="10" defaultRowHeight="15" x14ac:dyDescent="0.25"/>
  <cols>
    <col min="2" max="2" width="23" bestFit="1" customWidth="1"/>
    <col min="3" max="3" width="13.5703125" bestFit="1" customWidth="1"/>
    <col min="4" max="4" width="7.7109375" bestFit="1" customWidth="1"/>
  </cols>
  <sheetData>
    <row r="4" spans="2:4" s="2" customFormat="1" x14ac:dyDescent="0.25">
      <c r="B4" s="6" t="s">
        <v>11</v>
      </c>
      <c r="C4" s="6" t="s">
        <v>3</v>
      </c>
      <c r="D4" s="6" t="s">
        <v>28</v>
      </c>
    </row>
    <row r="5" spans="2:4" x14ac:dyDescent="0.25">
      <c r="B5" s="4" t="s">
        <v>24</v>
      </c>
      <c r="C5" s="4" t="s">
        <v>29</v>
      </c>
      <c r="D5" s="4">
        <v>220</v>
      </c>
    </row>
    <row r="6" spans="2:4" x14ac:dyDescent="0.25">
      <c r="B6" s="4" t="s">
        <v>25</v>
      </c>
      <c r="C6" s="4" t="s">
        <v>30</v>
      </c>
      <c r="D6" s="4">
        <v>180</v>
      </c>
    </row>
    <row r="7" spans="2:4" x14ac:dyDescent="0.25">
      <c r="B7" s="4" t="s">
        <v>26</v>
      </c>
      <c r="C7" s="4" t="s">
        <v>31</v>
      </c>
      <c r="D7" s="4">
        <v>250</v>
      </c>
    </row>
    <row r="8" spans="2:4" x14ac:dyDescent="0.25">
      <c r="B8" s="4" t="s">
        <v>27</v>
      </c>
      <c r="C8" s="4" t="s">
        <v>32</v>
      </c>
      <c r="D8" s="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Inscripciones</vt:lpstr>
      <vt:lpstr>Materias</vt:lpstr>
      <vt:lpstr>Departamentos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los dasldko</dc:creator>
  <cp:lastModifiedBy>los dasldko</cp:lastModifiedBy>
  <dcterms:created xsi:type="dcterms:W3CDTF">2026-02-19T07:42:39Z</dcterms:created>
  <dcterms:modified xsi:type="dcterms:W3CDTF">2026-02-19T19:55:02Z</dcterms:modified>
</cp:coreProperties>
</file>