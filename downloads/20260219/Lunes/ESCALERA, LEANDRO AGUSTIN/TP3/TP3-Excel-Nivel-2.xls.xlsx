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xdo\Desktop\Computacion\Tercera Entrega\TP3\"/>
    </mc:Choice>
  </mc:AlternateContent>
  <xr:revisionPtr revIDLastSave="0" documentId="8_{FBEAFA94-AE0D-4992-BBFF-EC58EAEE8308}" xr6:coauthVersionLast="47" xr6:coauthVersionMax="47" xr10:uidLastSave="{00000000-0000-0000-0000-000000000000}"/>
  <bookViews>
    <workbookView xWindow="14400" yWindow="0" windowWidth="14400" windowHeight="15600" activeTab="2" xr2:uid="{3C309DC7-D024-44E9-B6E3-9840E984BFD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<sst xmlns="http://schemas.openxmlformats.org/spreadsheetml/2006/main" count="129" uniqueCount="30">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</sst>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44" fontId="0" fillId="3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FCA4D-8CBF-458C-A11F-2A2EE0EE3D38}" name="Tabla3" displayName="Tabla3" ref="A1:E15" totalsRowShown="0" headerRowDxfId="15" dataDxfId="14">
  <autoFilter ref="A1:E15" xr:uid="{72AFCA4D-8CBF-458C-A11F-2A2EE0EE3D38}"/>
  <tableColumns count="5">
    <tableColumn id="1" xr3:uid="{386A86E9-270D-4BE4-B6BB-429374CDC5EE}" name="CODIGO" dataDxfId="20"/>
    <tableColumn id="2" xr3:uid="{DFE51866-35B0-4614-A9E4-FBCF2170E7A4}" name="DESCRIPCION" dataDxfId="19"/>
    <tableColumn id="3" xr3:uid="{F7557A63-0E29-416C-A26B-92E96782437E}" name="CANTIDAD" dataDxfId="18"/>
    <tableColumn id="4" xr3:uid="{D32C29E6-D071-4B72-9C6B-F3D4011CAF41}" name="PRECIO UNIT." dataDxfId="17" dataCellStyle="Moneda"/>
    <tableColumn id="5" xr3:uid="{2384DFDA-3C04-4704-9DC8-DC24F74213CC}" name="TOTAL" dataDxfId="16" dataCellStyle="Moneda">
      <calculatedColumnFormula>PRODUCT(C2,D2)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376A2A-9C4E-4914-9F7A-6429175295D8}" name="Tabla33" displayName="Tabla33" ref="A1:E15" totalsRowShown="0" headerRowDxfId="13" dataDxfId="12">
  <autoFilter ref="A1:E15" xr:uid="{02376A2A-9C4E-4914-9F7A-6429175295D8}"/>
  <sortState xmlns:xlrd2="http://schemas.microsoft.com/office/spreadsheetml/2017/richdata2" ref="A2:E15">
    <sortCondition ref="A2:A15"/>
    <sortCondition ref="B2:B15"/>
  </sortState>
  <tableColumns count="5">
    <tableColumn id="1" xr3:uid="{1E129F7C-455E-457A-AFFA-5411714D1301}" name="CODIGO" dataDxfId="11"/>
    <tableColumn id="2" xr3:uid="{3ABC4A16-C41C-4049-834C-74E4C2B7B6AB}" name="DESCRIPCION" dataDxfId="10"/>
    <tableColumn id="3" xr3:uid="{81077BE7-F200-49A8-A9DE-3481ECC78564}" name="CANTIDAD" dataDxfId="9"/>
    <tableColumn id="4" xr3:uid="{75859BD0-3841-46FE-8927-2EF479BFEA59}" name="PRECIO UNIT." dataDxfId="8" dataCellStyle="Moneda"/>
    <tableColumn id="5" xr3:uid="{1C56E00D-51E9-4988-8F39-9E65E43F850C}" name="TOTAL" dataDxfId="7" dataCellStyle="Moneda">
      <calculatedColumnFormula>PRODUCT(C2,D2)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BB658-40BA-4319-9D2B-442110F94F77}" name="Tabla34" displayName="Tabla34" ref="A1:E15" totalsRowShown="0" headerRowDxfId="6" dataDxfId="5">
  <autoFilter ref="A1:E15" xr:uid="{E6EBB658-40BA-4319-9D2B-442110F94F77}"/>
  <tableColumns count="5">
    <tableColumn id="1" xr3:uid="{48C9A869-7655-411D-8313-5560BD070FD0}" name="CODIGO" dataDxfId="4"/>
    <tableColumn id="2" xr3:uid="{A7FDE70E-C68D-4C03-9850-8BBB131AAC57}" name="DESCRIPCION" dataDxfId="3"/>
    <tableColumn id="3" xr3:uid="{A4A2352C-4D45-41F7-A3ED-02AAE69FA5CF}" name="CANTIDAD" dataDxfId="2"/>
    <tableColumn id="4" xr3:uid="{BD6F3396-025C-418B-BB0A-283806AA1FF4}" name="PRECIO UNIT." dataDxfId="1" dataCellStyle="Moneda"/>
    <tableColumn id="5" xr3:uid="{55338ABA-445E-4459-8506-26846895DEC8}" name="TOTAL" dataDxfId="0" dataCellStyle="Moneda">
      <calculatedColumnFormula>PRODUCT(C2,D2)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2E4B-2F1E-4ED0-B105-B9420BF32248}">
  <dimension ref="A1:F41"/>
  <sheetViews>
    <sheetView topLeftCell="A33" workbookViewId="0">
      <selection activeCell="K33" sqref="K33"/>
    </sheetView>
  </sheetViews>
  <sheetFormatPr baseColWidth="10" defaultRowHeight="15" x14ac:dyDescent="0.25"/>
  <cols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 x14ac:dyDescent="0.2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 x14ac:dyDescent="0.2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 x14ac:dyDescent="0.2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 x14ac:dyDescent="0.2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 x14ac:dyDescent="0.2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 x14ac:dyDescent="0.2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 x14ac:dyDescent="0.2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 x14ac:dyDescent="0.2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 x14ac:dyDescent="0.2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 x14ac:dyDescent="0.2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 x14ac:dyDescent="0.2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 x14ac:dyDescent="0.2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 x14ac:dyDescent="0.2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7" spans="1:5" x14ac:dyDescent="0.25">
      <c r="A17">
        <f>DMAX(A1:E15,4,A25:E26)</f>
        <v>8500</v>
      </c>
    </row>
    <row r="18" spans="1:5" x14ac:dyDescent="0.25">
      <c r="A18">
        <f>DSUM(A1:E15,5,A30:A31)</f>
        <v>21000</v>
      </c>
    </row>
    <row r="19" spans="1:5" x14ac:dyDescent="0.25">
      <c r="A19">
        <f>DGET(A1:E15,4,A35:E36)</f>
        <v>1800</v>
      </c>
    </row>
    <row r="20" spans="1:5" x14ac:dyDescent="0.25">
      <c r="A20">
        <f>DCOUNTA(A1:E15,2,A40:F41)</f>
        <v>6</v>
      </c>
    </row>
    <row r="25" spans="1:5" ht="15.75" thickBot="1" x14ac:dyDescent="0.3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 x14ac:dyDescent="0.25">
      <c r="A26" t="s">
        <v>10</v>
      </c>
    </row>
    <row r="30" spans="1:5" ht="15.75" thickBot="1" x14ac:dyDescent="0.3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 x14ac:dyDescent="0.25">
      <c r="A31" t="s">
        <v>13</v>
      </c>
      <c r="C31" t="s">
        <v>24</v>
      </c>
    </row>
    <row r="35" spans="1:6" ht="15.75" thickBot="1" x14ac:dyDescent="0.3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 x14ac:dyDescent="0.25">
      <c r="B36" t="s">
        <v>14</v>
      </c>
    </row>
    <row r="40" spans="1:6" ht="15.75" thickBot="1" x14ac:dyDescent="0.3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2</v>
      </c>
    </row>
    <row r="41" spans="1:6" x14ac:dyDescent="0.25">
      <c r="C41" t="s">
        <v>25</v>
      </c>
      <c r="F4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FB7D-32BA-4B38-88B3-563366AC52D5}">
  <dimension ref="A1:E15"/>
  <sheetViews>
    <sheetView workbookViewId="0">
      <selection sqref="A1:E15"/>
    </sheetView>
  </sheetViews>
  <sheetFormatPr baseColWidth="10" defaultRowHeight="15" x14ac:dyDescent="0.25"/>
  <cols>
    <col min="4" max="4" width="17.85546875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</v>
      </c>
      <c r="B2" s="2" t="s">
        <v>22</v>
      </c>
      <c r="C2" s="2">
        <v>2</v>
      </c>
      <c r="D2" s="3">
        <v>2400</v>
      </c>
      <c r="E2" s="3">
        <f>PRODUCT(C2,D2)</f>
        <v>4800</v>
      </c>
    </row>
    <row r="3" spans="1:5" x14ac:dyDescent="0.25">
      <c r="A3" s="2" t="s">
        <v>7</v>
      </c>
      <c r="B3" s="2" t="s">
        <v>8</v>
      </c>
      <c r="C3" s="2">
        <v>10</v>
      </c>
      <c r="D3" s="3">
        <v>4800</v>
      </c>
      <c r="E3" s="3">
        <f>PRODUCT(C3,D3)</f>
        <v>48000</v>
      </c>
    </row>
    <row r="4" spans="1:5" x14ac:dyDescent="0.25">
      <c r="A4" s="2" t="s">
        <v>7</v>
      </c>
      <c r="B4" s="2" t="s">
        <v>17</v>
      </c>
      <c r="C4" s="2">
        <v>2</v>
      </c>
      <c r="D4" s="3">
        <v>9400</v>
      </c>
      <c r="E4" s="3">
        <f>PRODUCT(C4,D4)</f>
        <v>18800</v>
      </c>
    </row>
    <row r="5" spans="1:5" x14ac:dyDescent="0.25">
      <c r="A5" s="2" t="s">
        <v>10</v>
      </c>
      <c r="B5" s="2" t="s">
        <v>12</v>
      </c>
      <c r="C5" s="2">
        <v>4</v>
      </c>
      <c r="D5" s="3">
        <v>5000</v>
      </c>
      <c r="E5" s="3">
        <f>PRODUCT(C5,D5)</f>
        <v>20000</v>
      </c>
    </row>
    <row r="6" spans="1:5" x14ac:dyDescent="0.25">
      <c r="A6" s="2" t="s">
        <v>10</v>
      </c>
      <c r="B6" s="2" t="s">
        <v>11</v>
      </c>
      <c r="C6" s="2">
        <v>7</v>
      </c>
      <c r="D6" s="3">
        <v>8500</v>
      </c>
      <c r="E6" s="3">
        <f>PRODUCT(C6,D6)</f>
        <v>59500</v>
      </c>
    </row>
    <row r="7" spans="1:5" x14ac:dyDescent="0.25">
      <c r="A7" s="2" t="s">
        <v>13</v>
      </c>
      <c r="B7" s="2" t="s">
        <v>16</v>
      </c>
      <c r="C7" s="2">
        <v>5</v>
      </c>
      <c r="D7" s="3">
        <v>1200</v>
      </c>
      <c r="E7" s="3">
        <f>PRODUCT(C7,D7)</f>
        <v>6000</v>
      </c>
    </row>
    <row r="8" spans="1:5" x14ac:dyDescent="0.25">
      <c r="A8" s="2" t="s">
        <v>13</v>
      </c>
      <c r="B8" s="2" t="s">
        <v>15</v>
      </c>
      <c r="C8" s="2">
        <v>3</v>
      </c>
      <c r="D8" s="3">
        <v>2600</v>
      </c>
      <c r="E8" s="3">
        <f>PRODUCT(C8,D8)</f>
        <v>7800</v>
      </c>
    </row>
    <row r="9" spans="1:5" x14ac:dyDescent="0.25">
      <c r="A9" s="2" t="s">
        <v>13</v>
      </c>
      <c r="B9" s="2" t="s">
        <v>14</v>
      </c>
      <c r="C9" s="2">
        <v>4</v>
      </c>
      <c r="D9" s="3">
        <v>1800</v>
      </c>
      <c r="E9" s="3">
        <f>PRODUCT(C9,D9)</f>
        <v>7200</v>
      </c>
    </row>
    <row r="10" spans="1:5" x14ac:dyDescent="0.25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5" x14ac:dyDescent="0.25">
      <c r="A11" s="2" t="s">
        <v>5</v>
      </c>
      <c r="B11" s="2" t="s">
        <v>9</v>
      </c>
      <c r="C11" s="2">
        <v>8</v>
      </c>
      <c r="D11" s="3">
        <v>7800</v>
      </c>
      <c r="E11" s="3">
        <f>PRODUCT(C11,D11)</f>
        <v>62400</v>
      </c>
    </row>
    <row r="12" spans="1:5" x14ac:dyDescent="0.25">
      <c r="A12" s="2" t="s">
        <v>5</v>
      </c>
      <c r="B12" s="2" t="s">
        <v>18</v>
      </c>
      <c r="C12" s="2">
        <v>8</v>
      </c>
      <c r="D12" s="3">
        <v>12000</v>
      </c>
      <c r="E12" s="3">
        <f>PRODUCT(C12,D12)</f>
        <v>96000</v>
      </c>
    </row>
    <row r="13" spans="1:5" x14ac:dyDescent="0.25">
      <c r="A13" s="2" t="s">
        <v>5</v>
      </c>
      <c r="B13" s="2" t="s">
        <v>23</v>
      </c>
      <c r="C13" s="2">
        <v>1</v>
      </c>
      <c r="D13" s="3">
        <v>1800</v>
      </c>
      <c r="E13" s="3">
        <f>PRODUCT(C13,D13)</f>
        <v>1800</v>
      </c>
    </row>
    <row r="14" spans="1:5" x14ac:dyDescent="0.25">
      <c r="A14" s="2" t="s">
        <v>19</v>
      </c>
      <c r="B14" s="2" t="s">
        <v>21</v>
      </c>
      <c r="C14" s="2">
        <v>6</v>
      </c>
      <c r="D14" s="3">
        <v>6500</v>
      </c>
      <c r="E14" s="3">
        <f>PRODUCT(C14,D14)</f>
        <v>39000</v>
      </c>
    </row>
    <row r="15" spans="1:5" x14ac:dyDescent="0.25">
      <c r="A15" s="2" t="s">
        <v>19</v>
      </c>
      <c r="B15" s="2" t="s">
        <v>20</v>
      </c>
      <c r="C15" s="2">
        <v>6</v>
      </c>
      <c r="D15" s="3">
        <v>2500</v>
      </c>
      <c r="E15" s="3">
        <f>PRODUCT(C15,D15)</f>
        <v>15000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10A1-1546-418D-9FD7-EBA9D5CCD740}">
  <dimension ref="A1:E20"/>
  <sheetViews>
    <sheetView tabSelected="1" workbookViewId="0">
      <selection activeCell="B33" sqref="B33"/>
    </sheetView>
  </sheetViews>
  <sheetFormatPr baseColWidth="10" defaultRowHeight="15" x14ac:dyDescent="0.25"/>
  <cols>
    <col min="1" max="1" width="19.5703125" bestFit="1" customWidth="1"/>
    <col min="2" max="2" width="2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 x14ac:dyDescent="0.2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 x14ac:dyDescent="0.2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 x14ac:dyDescent="0.2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 x14ac:dyDescent="0.2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 x14ac:dyDescent="0.2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 x14ac:dyDescent="0.2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 x14ac:dyDescent="0.2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 x14ac:dyDescent="0.2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 x14ac:dyDescent="0.2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 x14ac:dyDescent="0.2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 x14ac:dyDescent="0.2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 x14ac:dyDescent="0.2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 x14ac:dyDescent="0.2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8" spans="1:2" x14ac:dyDescent="0.25">
      <c r="A18" s="5" t="s">
        <v>27</v>
      </c>
      <c r="B18">
        <f>SUMIFS(E2:E15,A2:A15,"C",C2:C15,"&lt;10")</f>
        <v>23600</v>
      </c>
    </row>
    <row r="19" spans="1:2" x14ac:dyDescent="0.25">
      <c r="A19" s="5" t="s">
        <v>28</v>
      </c>
      <c r="B19">
        <f>COUNTIFS(A2:A15,"R",D2:D15,"&gt;2000",C2:C15,"&lt;4")</f>
        <v>1</v>
      </c>
    </row>
    <row r="20" spans="1:2" x14ac:dyDescent="0.25">
      <c r="A20" s="5" t="s">
        <v>29</v>
      </c>
      <c r="B20">
        <f>AVERAGEIFS(E2:E15,B2:B15,"T*",D2:D15,"&lt;12000")</f>
        <v>47400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 dasldko</dc:creator>
  <cp:lastModifiedBy>los dasldko</cp:lastModifiedBy>
  <dcterms:created xsi:type="dcterms:W3CDTF">2026-02-19T19:11:39Z</dcterms:created>
  <dcterms:modified xsi:type="dcterms:W3CDTF">2026-02-19T19:34:17Z</dcterms:modified>
</cp:coreProperties>
</file>