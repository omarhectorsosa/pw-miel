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filterPrivacy="1" defaultThemeVersion="166925"/>
  <xr:revisionPtr revIDLastSave="0" documentId="8_{944DF49F-9EB6-450D-A540-164503D54F13}" xr6:coauthVersionLast="47" xr6:coauthVersionMax="47" xr10:uidLastSave="{00000000-0000-0000-0000-000000000000}"/>
  <bookViews>
    <workbookView xWindow="0" yWindow="0" windowWidth="28560" windowHeight="13905" activeTab="2" xr2:uid="{A22C7B05-6B0A-4116-A99A-60EDDEA67682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Hoja1!$A$1:$E$15</definedName>
    <definedName name="_xlnm._FilterDatabase" localSheetId="2" hidden="1">Hoja3!$A$1:$E$15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B19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B18" i="3" s="1"/>
  <c r="E13" i="2"/>
  <c r="E2" i="2"/>
  <c r="E14" i="2"/>
  <c r="E15" i="2"/>
  <c r="E12" i="2"/>
  <c r="E4" i="2"/>
  <c r="E7" i="2"/>
  <c r="E8" i="2"/>
  <c r="E9" i="2"/>
  <c r="E5" i="2"/>
  <c r="E6" i="2"/>
  <c r="E11" i="2"/>
  <c r="E3" i="2"/>
  <c r="E10" i="2"/>
  <c r="A20" i="1"/>
  <c r="E46" i="1"/>
  <c r="E45" i="1"/>
  <c r="E44" i="1"/>
  <c r="E43" i="1"/>
  <c r="E42" i="1"/>
  <c r="E41" i="1"/>
  <c r="E36" i="1"/>
  <c r="E33" i="1"/>
  <c r="E32" i="1"/>
  <c r="E31" i="1"/>
  <c r="E27" i="1"/>
  <c r="E26" i="1"/>
  <c r="E3" i="1"/>
  <c r="E4" i="1"/>
  <c r="E5" i="1"/>
  <c r="E6" i="1"/>
  <c r="E7" i="1"/>
  <c r="A19" i="1" s="1"/>
  <c r="E8" i="1"/>
  <c r="E9" i="1"/>
  <c r="E10" i="1"/>
  <c r="E11" i="1"/>
  <c r="E12" i="1"/>
  <c r="E13" i="1"/>
  <c r="E14" i="1"/>
  <c r="E15" i="1"/>
  <c r="E2" i="1"/>
  <c r="A18" i="1" l="1"/>
  <c r="A17" i="1"/>
</calcChain>
</file>

<file path=xl/sharedStrings.xml><?xml version="1.0" encoding="utf-8"?>
<sst xmlns="http://schemas.openxmlformats.org/spreadsheetml/2006/main" count="146" uniqueCount="27">
  <si>
    <t>CODIGO</t>
  </si>
  <si>
    <t xml:space="preserve">DESCRIPCION </t>
  </si>
  <si>
    <t>CANTIDAD</t>
  </si>
  <si>
    <t>PRECIO UNIT.</t>
  </si>
  <si>
    <t>TOTAL</t>
  </si>
  <si>
    <t>T</t>
  </si>
  <si>
    <t>televisor 32"</t>
  </si>
  <si>
    <t>C</t>
  </si>
  <si>
    <t>Cocina 4 hornallas</t>
  </si>
  <si>
    <t>televisor 42" LED</t>
  </si>
  <si>
    <t>H</t>
  </si>
  <si>
    <t>Heladera 12 pies, con freezer</t>
  </si>
  <si>
    <t>Freezer carga suoerior</t>
  </si>
  <si>
    <t>R</t>
  </si>
  <si>
    <t xml:space="preserve">Radio onda corta </t>
  </si>
  <si>
    <t>Radio con CD y mp3</t>
  </si>
  <si>
    <t xml:space="preserve">Radio AM/FM 3 bandas </t>
  </si>
  <si>
    <t>Cocina industrial 6 horanallas</t>
  </si>
  <si>
    <t>Televisor 42" LED 3D</t>
  </si>
  <si>
    <t>V</t>
  </si>
  <si>
    <t>Ventilador 25" giratorio</t>
  </si>
  <si>
    <t>Aire acondicionado F/C</t>
  </si>
  <si>
    <t>Anafe 2 hornallas</t>
  </si>
  <si>
    <t>TV portatil (12V)</t>
  </si>
  <si>
    <t>Importe total</t>
  </si>
  <si>
    <t>CONTAR PRODUCTOS</t>
  </si>
  <si>
    <t>PROMEDIO DE IMPORTES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</si>
</sst>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0" fillId="0" borderId="0" xfId="0" applyNumberFormat="1" applyAlignment="1">
      <alignment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/>
    <xf numFmtId="164" fontId="0" fillId="0" borderId="1" xfId="0" applyNumberFormat="1" applyBorder="1" applyAlignment="1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FABB-DF5C-4F9E-B98F-F8DC866DADF5}">
  <dimension ref="A1:E46"/>
  <sheetViews>
    <sheetView topLeftCell="B1" workbookViewId="0">
      <selection sqref="A1:E15"/>
    </sheetView>
  </sheetViews>
  <sheetFormatPr defaultColWidth="11.42578125" defaultRowHeight="15"/>
  <cols>
    <col min="1" max="1" width="36.5703125" bestFit="1" customWidth="1"/>
    <col min="2" max="2" width="26.42578125" bestFit="1" customWidth="1"/>
    <col min="4" max="4" width="12.7109375" bestFit="1" customWidth="1"/>
  </cols>
  <sheetData>
    <row r="1" spans="1:5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</row>
    <row r="2" spans="1:5">
      <c r="A2" s="2" t="s">
        <v>5</v>
      </c>
      <c r="B2" s="2" t="s">
        <v>6</v>
      </c>
      <c r="C2" s="2">
        <v>12</v>
      </c>
      <c r="D2" s="3">
        <v>6500</v>
      </c>
      <c r="E2" s="3">
        <f>PRODUCT(C2,D2)</f>
        <v>78000</v>
      </c>
    </row>
    <row r="3" spans="1:5">
      <c r="A3" s="2" t="s">
        <v>7</v>
      </c>
      <c r="B3" s="2" t="s">
        <v>8</v>
      </c>
      <c r="C3" s="2">
        <v>10</v>
      </c>
      <c r="D3" s="3">
        <v>4800</v>
      </c>
      <c r="E3" s="3">
        <f t="shared" ref="E3:E15" si="0">PRODUCT(C3,D3)</f>
        <v>48000</v>
      </c>
    </row>
    <row r="4" spans="1:5">
      <c r="A4" s="2" t="s">
        <v>5</v>
      </c>
      <c r="B4" s="2" t="s">
        <v>9</v>
      </c>
      <c r="C4" s="2">
        <v>8</v>
      </c>
      <c r="D4" s="3">
        <v>7800</v>
      </c>
      <c r="E4" s="3">
        <f t="shared" si="0"/>
        <v>62400</v>
      </c>
    </row>
    <row r="5" spans="1:5">
      <c r="A5" s="2" t="s">
        <v>10</v>
      </c>
      <c r="B5" s="2" t="s">
        <v>11</v>
      </c>
      <c r="C5" s="2">
        <v>7</v>
      </c>
      <c r="D5" s="3">
        <v>8500</v>
      </c>
      <c r="E5" s="3">
        <f t="shared" si="0"/>
        <v>59500</v>
      </c>
    </row>
    <row r="6" spans="1:5">
      <c r="A6" s="2" t="s">
        <v>10</v>
      </c>
      <c r="B6" s="2" t="s">
        <v>12</v>
      </c>
      <c r="C6" s="2">
        <v>4</v>
      </c>
      <c r="D6" s="3">
        <v>5000</v>
      </c>
      <c r="E6" s="3">
        <f t="shared" si="0"/>
        <v>20000</v>
      </c>
    </row>
    <row r="7" spans="1:5">
      <c r="A7" s="2" t="s">
        <v>13</v>
      </c>
      <c r="B7" s="2" t="s">
        <v>14</v>
      </c>
      <c r="C7" s="2">
        <v>4</v>
      </c>
      <c r="D7" s="3">
        <v>1800</v>
      </c>
      <c r="E7" s="3">
        <f t="shared" si="0"/>
        <v>7200</v>
      </c>
    </row>
    <row r="8" spans="1:5">
      <c r="A8" s="2" t="s">
        <v>13</v>
      </c>
      <c r="B8" s="2" t="s">
        <v>15</v>
      </c>
      <c r="C8" s="2">
        <v>3</v>
      </c>
      <c r="D8" s="3">
        <v>2600</v>
      </c>
      <c r="E8" s="3">
        <f t="shared" si="0"/>
        <v>7800</v>
      </c>
    </row>
    <row r="9" spans="1:5">
      <c r="A9" s="2" t="s">
        <v>13</v>
      </c>
      <c r="B9" s="2" t="s">
        <v>16</v>
      </c>
      <c r="C9" s="2">
        <v>5</v>
      </c>
      <c r="D9" s="3">
        <v>1200</v>
      </c>
      <c r="E9" s="3">
        <f t="shared" si="0"/>
        <v>6000</v>
      </c>
    </row>
    <row r="10" spans="1:5">
      <c r="A10" s="2" t="s">
        <v>7</v>
      </c>
      <c r="B10" s="2" t="s">
        <v>17</v>
      </c>
      <c r="C10" s="2">
        <v>2</v>
      </c>
      <c r="D10" s="3">
        <v>9400</v>
      </c>
      <c r="E10" s="3">
        <f t="shared" si="0"/>
        <v>18800</v>
      </c>
    </row>
    <row r="11" spans="1:5">
      <c r="A11" s="2" t="s">
        <v>5</v>
      </c>
      <c r="B11" s="2" t="s">
        <v>18</v>
      </c>
      <c r="C11" s="2">
        <v>8</v>
      </c>
      <c r="D11" s="3">
        <v>12000</v>
      </c>
      <c r="E11" s="3">
        <f t="shared" si="0"/>
        <v>96000</v>
      </c>
    </row>
    <row r="12" spans="1:5">
      <c r="A12" s="2" t="s">
        <v>19</v>
      </c>
      <c r="B12" s="2" t="s">
        <v>20</v>
      </c>
      <c r="C12" s="2">
        <v>6</v>
      </c>
      <c r="D12" s="3">
        <v>2500</v>
      </c>
      <c r="E12" s="3">
        <f t="shared" si="0"/>
        <v>15000</v>
      </c>
    </row>
    <row r="13" spans="1:5">
      <c r="A13" s="2" t="s">
        <v>19</v>
      </c>
      <c r="B13" s="2" t="s">
        <v>21</v>
      </c>
      <c r="C13" s="2">
        <v>6</v>
      </c>
      <c r="D13" s="3">
        <v>6500</v>
      </c>
      <c r="E13" s="3">
        <f t="shared" si="0"/>
        <v>39000</v>
      </c>
    </row>
    <row r="14" spans="1:5">
      <c r="A14" s="2" t="s">
        <v>7</v>
      </c>
      <c r="B14" s="2" t="s">
        <v>22</v>
      </c>
      <c r="C14" s="2">
        <v>2</v>
      </c>
      <c r="D14" s="3">
        <v>2400</v>
      </c>
      <c r="E14" s="3">
        <f t="shared" si="0"/>
        <v>4800</v>
      </c>
    </row>
    <row r="15" spans="1:5">
      <c r="A15" s="2" t="s">
        <v>5</v>
      </c>
      <c r="B15" s="2" t="s">
        <v>23</v>
      </c>
      <c r="C15" s="2">
        <v>1</v>
      </c>
      <c r="D15" s="3">
        <v>1800</v>
      </c>
      <c r="E15" s="3">
        <f t="shared" si="0"/>
        <v>1800</v>
      </c>
    </row>
    <row r="17" spans="1:5">
      <c r="A17" s="6">
        <f>DMAX(A1:E15,4,A25:E27)</f>
        <v>8500</v>
      </c>
    </row>
    <row r="18" spans="1:5">
      <c r="A18" s="1">
        <f>DSUM(A1:E15,5,A30:E33)</f>
        <v>21000</v>
      </c>
    </row>
    <row r="19" spans="1:5">
      <c r="A19" s="1">
        <f>DGET(A1:E15,4,A35:E36)</f>
        <v>1800</v>
      </c>
    </row>
    <row r="20" spans="1:5">
      <c r="A20">
        <f>DCOUNTA(A1:E15,2,A40:E46)</f>
        <v>6</v>
      </c>
    </row>
    <row r="25" spans="1:5">
      <c r="A25" s="4" t="s">
        <v>0</v>
      </c>
      <c r="B25" s="4" t="s">
        <v>1</v>
      </c>
      <c r="C25" s="4" t="s">
        <v>2</v>
      </c>
      <c r="D25" s="5" t="s">
        <v>3</v>
      </c>
      <c r="E25" s="5" t="s">
        <v>4</v>
      </c>
    </row>
    <row r="26" spans="1:5">
      <c r="A26" s="2" t="s">
        <v>10</v>
      </c>
      <c r="B26" s="2" t="s">
        <v>11</v>
      </c>
      <c r="C26" s="2">
        <v>7</v>
      </c>
      <c r="D26" s="3">
        <v>8500</v>
      </c>
      <c r="E26" s="3">
        <f t="shared" ref="E26:E27" si="1">PRODUCT(C26,D26)</f>
        <v>59500</v>
      </c>
    </row>
    <row r="27" spans="1:5">
      <c r="A27" s="2" t="s">
        <v>10</v>
      </c>
      <c r="B27" s="2" t="s">
        <v>12</v>
      </c>
      <c r="C27" s="2">
        <v>4</v>
      </c>
      <c r="D27" s="3">
        <v>5000</v>
      </c>
      <c r="E27" s="3">
        <f t="shared" si="1"/>
        <v>20000</v>
      </c>
    </row>
    <row r="30" spans="1:5">
      <c r="A30" s="4" t="s">
        <v>0</v>
      </c>
      <c r="B30" s="4" t="s">
        <v>1</v>
      </c>
      <c r="C30" s="4" t="s">
        <v>2</v>
      </c>
      <c r="D30" s="5" t="s">
        <v>3</v>
      </c>
      <c r="E30" s="5" t="s">
        <v>4</v>
      </c>
    </row>
    <row r="31" spans="1:5">
      <c r="A31" s="2" t="s">
        <v>13</v>
      </c>
      <c r="B31" s="2" t="s">
        <v>14</v>
      </c>
      <c r="C31" s="2">
        <v>4</v>
      </c>
      <c r="D31" s="3">
        <v>1800</v>
      </c>
      <c r="E31" s="3">
        <f t="shared" ref="E31:E33" si="2">PRODUCT(C31,D31)</f>
        <v>7200</v>
      </c>
    </row>
    <row r="32" spans="1:5">
      <c r="A32" s="2" t="s">
        <v>13</v>
      </c>
      <c r="B32" s="2" t="s">
        <v>15</v>
      </c>
      <c r="C32" s="2">
        <v>3</v>
      </c>
      <c r="D32" s="3">
        <v>2600</v>
      </c>
      <c r="E32" s="3">
        <f t="shared" si="2"/>
        <v>7800</v>
      </c>
    </row>
    <row r="33" spans="1:5">
      <c r="A33" s="2" t="s">
        <v>13</v>
      </c>
      <c r="B33" s="2" t="s">
        <v>16</v>
      </c>
      <c r="C33" s="2">
        <v>5</v>
      </c>
      <c r="D33" s="3">
        <v>1200</v>
      </c>
      <c r="E33" s="3">
        <f t="shared" si="2"/>
        <v>6000</v>
      </c>
    </row>
    <row r="35" spans="1:5">
      <c r="A35" s="4" t="s">
        <v>0</v>
      </c>
      <c r="B35" s="4" t="s">
        <v>1</v>
      </c>
      <c r="C35" s="4" t="s">
        <v>2</v>
      </c>
      <c r="D35" s="5" t="s">
        <v>3</v>
      </c>
      <c r="E35" s="5" t="s">
        <v>4</v>
      </c>
    </row>
    <row r="36" spans="1:5">
      <c r="A36" s="2" t="s">
        <v>13</v>
      </c>
      <c r="B36" s="2" t="s">
        <v>14</v>
      </c>
      <c r="C36" s="2">
        <v>4</v>
      </c>
      <c r="D36" s="3">
        <v>1800</v>
      </c>
      <c r="E36" s="3">
        <f t="shared" ref="E36" si="3">PRODUCT(C36,D36)</f>
        <v>7200</v>
      </c>
    </row>
    <row r="40" spans="1:5">
      <c r="A40" s="4" t="s">
        <v>0</v>
      </c>
      <c r="B40" s="4" t="s">
        <v>1</v>
      </c>
      <c r="C40" s="4" t="s">
        <v>2</v>
      </c>
      <c r="D40" s="5" t="s">
        <v>3</v>
      </c>
      <c r="E40" s="5" t="s">
        <v>4</v>
      </c>
    </row>
    <row r="41" spans="1:5">
      <c r="A41" s="2" t="s">
        <v>5</v>
      </c>
      <c r="B41" s="2" t="s">
        <v>9</v>
      </c>
      <c r="C41" s="2">
        <v>8</v>
      </c>
      <c r="D41" s="3">
        <v>7800</v>
      </c>
      <c r="E41" s="3">
        <f t="shared" ref="E41:E46" si="4">PRODUCT(C41,D41)</f>
        <v>62400</v>
      </c>
    </row>
    <row r="42" spans="1:5">
      <c r="A42" s="2" t="s">
        <v>10</v>
      </c>
      <c r="B42" s="2" t="s">
        <v>11</v>
      </c>
      <c r="C42" s="2">
        <v>7</v>
      </c>
      <c r="D42" s="3">
        <v>8500</v>
      </c>
      <c r="E42" s="3">
        <f t="shared" si="4"/>
        <v>59500</v>
      </c>
    </row>
    <row r="43" spans="1:5">
      <c r="A43" s="2" t="s">
        <v>13</v>
      </c>
      <c r="B43" s="2" t="s">
        <v>16</v>
      </c>
      <c r="C43" s="2">
        <v>5</v>
      </c>
      <c r="D43" s="3">
        <v>1200</v>
      </c>
      <c r="E43" s="3">
        <f t="shared" si="4"/>
        <v>6000</v>
      </c>
    </row>
    <row r="44" spans="1:5">
      <c r="A44" s="2" t="s">
        <v>5</v>
      </c>
      <c r="B44" s="2" t="s">
        <v>18</v>
      </c>
      <c r="C44" s="2">
        <v>8</v>
      </c>
      <c r="D44" s="3">
        <v>12000</v>
      </c>
      <c r="E44" s="3">
        <f t="shared" si="4"/>
        <v>96000</v>
      </c>
    </row>
    <row r="45" spans="1:5">
      <c r="A45" s="2" t="s">
        <v>19</v>
      </c>
      <c r="B45" s="2" t="s">
        <v>20</v>
      </c>
      <c r="C45" s="2">
        <v>6</v>
      </c>
      <c r="D45" s="3">
        <v>2500</v>
      </c>
      <c r="E45" s="3">
        <f t="shared" si="4"/>
        <v>15000</v>
      </c>
    </row>
    <row r="46" spans="1:5">
      <c r="A46" s="2" t="s">
        <v>19</v>
      </c>
      <c r="B46" s="2" t="s">
        <v>21</v>
      </c>
      <c r="C46" s="2">
        <v>6</v>
      </c>
      <c r="D46" s="3">
        <v>6500</v>
      </c>
      <c r="E46" s="3">
        <f t="shared" si="4"/>
        <v>39000</v>
      </c>
    </row>
  </sheetData>
  <autoFilter ref="A1:E15" xr:uid="{F274FABB-DF5C-4F9E-B98F-F8DC866DADF5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81A8C-68CB-42B4-BB0A-9A0922A30DA4}">
  <dimension ref="A1:E15"/>
  <sheetViews>
    <sheetView workbookViewId="0">
      <selection sqref="A1:E15"/>
    </sheetView>
  </sheetViews>
  <sheetFormatPr defaultRowHeight="15"/>
  <cols>
    <col min="2" max="2" width="27.140625" customWidth="1"/>
    <col min="3" max="3" width="11.7109375" customWidth="1"/>
    <col min="4" max="4" width="14.28515625" customWidth="1"/>
    <col min="5" max="5" width="12.42578125" customWidth="1"/>
  </cols>
  <sheetData>
    <row r="1" spans="1:5" ht="30.75">
      <c r="A1" s="4" t="s">
        <v>0</v>
      </c>
      <c r="B1" s="4" t="s">
        <v>1</v>
      </c>
      <c r="C1" s="7" t="s">
        <v>2</v>
      </c>
      <c r="D1" s="5" t="s">
        <v>3</v>
      </c>
      <c r="E1" s="5" t="s">
        <v>4</v>
      </c>
    </row>
    <row r="2" spans="1:5">
      <c r="A2" s="9" t="s">
        <v>7</v>
      </c>
      <c r="B2" s="9" t="s">
        <v>22</v>
      </c>
      <c r="C2" s="9">
        <v>2</v>
      </c>
      <c r="D2" s="10">
        <v>2400</v>
      </c>
      <c r="E2" s="10">
        <f>PRODUCT(C2,D2)</f>
        <v>4800</v>
      </c>
    </row>
    <row r="3" spans="1:5">
      <c r="A3" s="9" t="s">
        <v>7</v>
      </c>
      <c r="B3" s="9" t="s">
        <v>8</v>
      </c>
      <c r="C3" s="9">
        <v>10</v>
      </c>
      <c r="D3" s="10">
        <v>4800</v>
      </c>
      <c r="E3" s="10">
        <f>PRODUCT(C3,D3)</f>
        <v>48000</v>
      </c>
    </row>
    <row r="4" spans="1:5">
      <c r="A4" s="9" t="s">
        <v>7</v>
      </c>
      <c r="B4" s="9" t="s">
        <v>17</v>
      </c>
      <c r="C4" s="9">
        <v>2</v>
      </c>
      <c r="D4" s="10">
        <v>9400</v>
      </c>
      <c r="E4" s="10">
        <f>PRODUCT(C4,D4)</f>
        <v>18800</v>
      </c>
    </row>
    <row r="5" spans="1:5">
      <c r="A5" s="9" t="s">
        <v>10</v>
      </c>
      <c r="B5" s="9" t="s">
        <v>12</v>
      </c>
      <c r="C5" s="9">
        <v>4</v>
      </c>
      <c r="D5" s="10">
        <v>5000</v>
      </c>
      <c r="E5" s="10">
        <f>PRODUCT(C5,D5)</f>
        <v>20000</v>
      </c>
    </row>
    <row r="6" spans="1:5">
      <c r="A6" s="9" t="s">
        <v>10</v>
      </c>
      <c r="B6" s="9" t="s">
        <v>11</v>
      </c>
      <c r="C6" s="9">
        <v>7</v>
      </c>
      <c r="D6" s="10">
        <v>8500</v>
      </c>
      <c r="E6" s="10">
        <f>PRODUCT(C6,D6)</f>
        <v>59500</v>
      </c>
    </row>
    <row r="7" spans="1:5">
      <c r="A7" s="9" t="s">
        <v>13</v>
      </c>
      <c r="B7" s="9" t="s">
        <v>16</v>
      </c>
      <c r="C7" s="9">
        <v>5</v>
      </c>
      <c r="D7" s="10">
        <v>1200</v>
      </c>
      <c r="E7" s="10">
        <f>PRODUCT(C7,D7)</f>
        <v>6000</v>
      </c>
    </row>
    <row r="8" spans="1:5">
      <c r="A8" s="9" t="s">
        <v>13</v>
      </c>
      <c r="B8" s="9" t="s">
        <v>15</v>
      </c>
      <c r="C8" s="9">
        <v>3</v>
      </c>
      <c r="D8" s="10">
        <v>2600</v>
      </c>
      <c r="E8" s="10">
        <f>PRODUCT(C8,D8)</f>
        <v>7800</v>
      </c>
    </row>
    <row r="9" spans="1:5">
      <c r="A9" s="9" t="s">
        <v>13</v>
      </c>
      <c r="B9" s="9" t="s">
        <v>14</v>
      </c>
      <c r="C9" s="9">
        <v>4</v>
      </c>
      <c r="D9" s="10">
        <v>1800</v>
      </c>
      <c r="E9" s="10">
        <f>PRODUCT(C9,D9)</f>
        <v>7200</v>
      </c>
    </row>
    <row r="10" spans="1:5">
      <c r="A10" s="9" t="s">
        <v>5</v>
      </c>
      <c r="B10" s="9" t="s">
        <v>6</v>
      </c>
      <c r="C10" s="9">
        <v>12</v>
      </c>
      <c r="D10" s="10">
        <v>6500</v>
      </c>
      <c r="E10" s="10">
        <f>PRODUCT(C10,D10)</f>
        <v>78000</v>
      </c>
    </row>
    <row r="11" spans="1:5">
      <c r="A11" s="9" t="s">
        <v>5</v>
      </c>
      <c r="B11" s="8" t="s">
        <v>9</v>
      </c>
      <c r="C11" s="9">
        <v>8</v>
      </c>
      <c r="D11" s="10">
        <v>7800</v>
      </c>
      <c r="E11" s="10">
        <f>PRODUCT(C11,D11)</f>
        <v>62400</v>
      </c>
    </row>
    <row r="12" spans="1:5">
      <c r="A12" s="9" t="s">
        <v>5</v>
      </c>
      <c r="B12" s="9" t="s">
        <v>18</v>
      </c>
      <c r="C12" s="9">
        <v>8</v>
      </c>
      <c r="D12" s="10">
        <v>12000</v>
      </c>
      <c r="E12" s="10">
        <f>PRODUCT(C12,D12)</f>
        <v>96000</v>
      </c>
    </row>
    <row r="13" spans="1:5">
      <c r="A13" s="9" t="s">
        <v>5</v>
      </c>
      <c r="B13" s="9" t="s">
        <v>23</v>
      </c>
      <c r="C13" s="9">
        <v>1</v>
      </c>
      <c r="D13" s="10">
        <v>1800</v>
      </c>
      <c r="E13" s="10">
        <f>PRODUCT(C13,D13)</f>
        <v>1800</v>
      </c>
    </row>
    <row r="14" spans="1:5">
      <c r="A14" s="9" t="s">
        <v>19</v>
      </c>
      <c r="B14" s="9" t="s">
        <v>21</v>
      </c>
      <c r="C14" s="9">
        <v>6</v>
      </c>
      <c r="D14" s="10">
        <v>6500</v>
      </c>
      <c r="E14" s="10">
        <f>PRODUCT(C14,D14)</f>
        <v>39000</v>
      </c>
    </row>
    <row r="15" spans="1:5">
      <c r="A15" s="9" t="s">
        <v>19</v>
      </c>
      <c r="B15" s="9" t="s">
        <v>20</v>
      </c>
      <c r="C15" s="9">
        <v>6</v>
      </c>
      <c r="D15" s="10">
        <v>2500</v>
      </c>
      <c r="E15" s="10">
        <f>PRODUCT(C15,D15)</f>
        <v>15000</v>
      </c>
    </row>
  </sheetData>
  <sortState xmlns:xlrd2="http://schemas.microsoft.com/office/spreadsheetml/2017/richdata2" ref="A2:E15">
    <sortCondition ref="A2:A15"/>
    <sortCondition ref="B2:B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A7062-4F77-4A82-A398-4557EF60055F}">
  <dimension ref="A1:E20"/>
  <sheetViews>
    <sheetView tabSelected="1" workbookViewId="0">
      <selection activeCell="B20" sqref="B20"/>
    </sheetView>
  </sheetViews>
  <sheetFormatPr defaultRowHeight="15"/>
  <cols>
    <col min="1" max="1" width="24.85546875" customWidth="1"/>
    <col min="2" max="2" width="26.7109375" customWidth="1"/>
    <col min="3" max="3" width="14.140625" customWidth="1"/>
    <col min="4" max="4" width="16.42578125" customWidth="1"/>
    <col min="5" max="5" width="17.42578125" customWidth="1"/>
  </cols>
  <sheetData>
    <row r="1" spans="1:5" ht="30.75">
      <c r="A1" s="4" t="s">
        <v>0</v>
      </c>
      <c r="B1" s="4" t="s">
        <v>1</v>
      </c>
      <c r="C1" s="7" t="s">
        <v>2</v>
      </c>
      <c r="D1" s="5" t="s">
        <v>3</v>
      </c>
      <c r="E1" s="5" t="s">
        <v>4</v>
      </c>
    </row>
    <row r="2" spans="1:5">
      <c r="A2" s="9" t="s">
        <v>7</v>
      </c>
      <c r="B2" s="9" t="s">
        <v>22</v>
      </c>
      <c r="C2" s="9">
        <v>2</v>
      </c>
      <c r="D2" s="10">
        <v>2400</v>
      </c>
      <c r="E2" s="10">
        <f>PRODUCT(C2,D2)</f>
        <v>4800</v>
      </c>
    </row>
    <row r="3" spans="1:5">
      <c r="A3" s="9" t="s">
        <v>7</v>
      </c>
      <c r="B3" s="9" t="s">
        <v>8</v>
      </c>
      <c r="C3" s="9">
        <v>10</v>
      </c>
      <c r="D3" s="10">
        <v>4800</v>
      </c>
      <c r="E3" s="10">
        <f>PRODUCT(C3,D3)</f>
        <v>48000</v>
      </c>
    </row>
    <row r="4" spans="1:5">
      <c r="A4" s="9" t="s">
        <v>7</v>
      </c>
      <c r="B4" s="9" t="s">
        <v>17</v>
      </c>
      <c r="C4" s="9">
        <v>2</v>
      </c>
      <c r="D4" s="10">
        <v>9400</v>
      </c>
      <c r="E4" s="10">
        <f>PRODUCT(C4,D4)</f>
        <v>18800</v>
      </c>
    </row>
    <row r="5" spans="1:5">
      <c r="A5" s="9" t="s">
        <v>10</v>
      </c>
      <c r="B5" s="9" t="s">
        <v>12</v>
      </c>
      <c r="C5" s="9">
        <v>4</v>
      </c>
      <c r="D5" s="10">
        <v>5000</v>
      </c>
      <c r="E5" s="10">
        <f>PRODUCT(C5,D5)</f>
        <v>20000</v>
      </c>
    </row>
    <row r="6" spans="1:5">
      <c r="A6" s="9" t="s">
        <v>10</v>
      </c>
      <c r="B6" s="9" t="s">
        <v>11</v>
      </c>
      <c r="C6" s="9">
        <v>7</v>
      </c>
      <c r="D6" s="10">
        <v>8500</v>
      </c>
      <c r="E6" s="10">
        <f>PRODUCT(C6,D6)</f>
        <v>59500</v>
      </c>
    </row>
    <row r="7" spans="1:5">
      <c r="A7" s="9" t="s">
        <v>13</v>
      </c>
      <c r="B7" s="9" t="s">
        <v>16</v>
      </c>
      <c r="C7" s="9">
        <v>5</v>
      </c>
      <c r="D7" s="10">
        <v>1200</v>
      </c>
      <c r="E7" s="10">
        <f>PRODUCT(C7,D7)</f>
        <v>6000</v>
      </c>
    </row>
    <row r="8" spans="1:5">
      <c r="A8" s="9" t="s">
        <v>13</v>
      </c>
      <c r="B8" s="9" t="s">
        <v>15</v>
      </c>
      <c r="C8" s="9">
        <v>3</v>
      </c>
      <c r="D8" s="10">
        <v>2600</v>
      </c>
      <c r="E8" s="10">
        <f>PRODUCT(C8,D8)</f>
        <v>7800</v>
      </c>
    </row>
    <row r="9" spans="1:5">
      <c r="A9" s="9" t="s">
        <v>13</v>
      </c>
      <c r="B9" s="9" t="s">
        <v>14</v>
      </c>
      <c r="C9" s="9">
        <v>4</v>
      </c>
      <c r="D9" s="10">
        <v>1800</v>
      </c>
      <c r="E9" s="10">
        <f>PRODUCT(C9,D9)</f>
        <v>7200</v>
      </c>
    </row>
    <row r="10" spans="1:5">
      <c r="A10" s="9" t="s">
        <v>5</v>
      </c>
      <c r="B10" s="9" t="s">
        <v>6</v>
      </c>
      <c r="C10" s="9">
        <v>12</v>
      </c>
      <c r="D10" s="10">
        <v>6500</v>
      </c>
      <c r="E10" s="10">
        <f>PRODUCT(C10,D10)</f>
        <v>78000</v>
      </c>
    </row>
    <row r="11" spans="1:5" ht="16.5" customHeight="1">
      <c r="A11" s="9" t="s">
        <v>5</v>
      </c>
      <c r="B11" s="8" t="s">
        <v>9</v>
      </c>
      <c r="C11" s="9">
        <v>8</v>
      </c>
      <c r="D11" s="10">
        <v>7800</v>
      </c>
      <c r="E11" s="10">
        <f>PRODUCT(C11,D11)</f>
        <v>62400</v>
      </c>
    </row>
    <row r="12" spans="1:5">
      <c r="A12" s="9" t="s">
        <v>5</v>
      </c>
      <c r="B12" s="9" t="s">
        <v>18</v>
      </c>
      <c r="C12" s="9">
        <v>8</v>
      </c>
      <c r="D12" s="10">
        <v>12000</v>
      </c>
      <c r="E12" s="10">
        <f>PRODUCT(C12,D12)</f>
        <v>96000</v>
      </c>
    </row>
    <row r="13" spans="1:5">
      <c r="A13" s="9" t="s">
        <v>5</v>
      </c>
      <c r="B13" s="9" t="s">
        <v>23</v>
      </c>
      <c r="C13" s="9">
        <v>1</v>
      </c>
      <c r="D13" s="10">
        <v>1800</v>
      </c>
      <c r="E13" s="10">
        <f>PRODUCT(C13,D13)</f>
        <v>1800</v>
      </c>
    </row>
    <row r="14" spans="1:5">
      <c r="A14" s="9" t="s">
        <v>19</v>
      </c>
      <c r="B14" s="9" t="s">
        <v>21</v>
      </c>
      <c r="C14" s="9">
        <v>6</v>
      </c>
      <c r="D14" s="10">
        <v>6500</v>
      </c>
      <c r="E14" s="10">
        <f>PRODUCT(C14,D14)</f>
        <v>39000</v>
      </c>
    </row>
    <row r="15" spans="1:5">
      <c r="A15" s="9" t="s">
        <v>19</v>
      </c>
      <c r="B15" s="9" t="s">
        <v>20</v>
      </c>
      <c r="C15" s="9">
        <v>6</v>
      </c>
      <c r="D15" s="10">
        <v>2500</v>
      </c>
      <c r="E15" s="10">
        <f>PRODUCT(C15,D15)</f>
        <v>15000</v>
      </c>
    </row>
    <row r="18" spans="1:2">
      <c r="A18" s="11" t="s">
        <v>24</v>
      </c>
      <c r="B18" s="1">
        <f>SUMIFS(E2:E15,A2:A15,"C",C2:C15,"&lt;10")</f>
        <v>23600</v>
      </c>
    </row>
    <row r="19" spans="1:2" ht="30.75">
      <c r="A19" s="13" t="s">
        <v>25</v>
      </c>
      <c r="B19" s="12">
        <f>COUNTIFS(A2:A15,"R",D2:D15,"2000",C2:C15,"4")</f>
        <v>0</v>
      </c>
    </row>
    <row r="20" spans="1:2">
      <c r="A20" s="13" t="s">
        <v>26</v>
      </c>
      <c r="B20" s="6">
        <f>AVERAGEIFS(E2:E15,B2:B15,"T*",D2:D15,"&lt;12000")</f>
        <v>47400</v>
      </c>
    </row>
  </sheetData>
  <autoFilter ref="A1:E15" xr:uid="{E4CA7062-4F77-4A82-A398-4557EF60055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2026-02-14T18:55:46Z</dcterms:created>
  <dcterms:modified xsi:type="dcterms:W3CDTF">2026-02-15T02:13:28Z</dcterms:modified>
  <cp:category/>
  <cp:contentStatus/>
</cp:coreProperties>
</file>