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9EA3C08C-B732-4F5E-BD3F-1D2B4FF11920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2" i="2"/>
  <c r="E4" i="2"/>
  <c r="E6" i="2"/>
  <c r="E11" i="2"/>
  <c r="E14" i="2"/>
  <c r="E10" i="2"/>
  <c r="E5" i="2"/>
  <c r="E3" i="2"/>
  <c r="E8" i="2"/>
  <c r="E15" i="2"/>
  <c r="E2" i="2"/>
  <c r="E13" i="2"/>
  <c r="E9" i="2"/>
  <c r="E7" i="2"/>
  <c r="A20" i="1"/>
  <c r="A19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  <c r="A18" i="1" s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<sst xmlns="http://schemas.openxmlformats.org/spreadsheetml/2006/main" count="129" uniqueCount="30">
  <si>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</si>
  <si>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</si>
  <si>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</si>
  <si>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</si>
  <si>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</si>
  <si>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</si>
  <si>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</si>
  <si>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</si>
  <si>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T</t>
  </si>
  <si>
    <t>TV portatil (12V)</t>
  </si>
  <si>
    <t>C</t>
  </si>
  <si>
    <t>Anafe 2 hornallas</t>
  </si>
  <si>
    <t>V</t>
  </si>
  <si>
    <t>Ventilador 25'' giratorio</t>
  </si>
  <si>
    <t>Radio con CD y mp3</t>
  </si>
  <si>
    <t>Cocina 4 hornallas</t>
  </si>
  <si>
    <t>H</t>
  </si>
  <si>
    <t>Freezer carga superior</t>
  </si>
  <si>
    <t>Televisor 32''</t>
  </si>
  <si>
    <t>Aire acondicionado F/C</t>
  </si>
  <si>
    <t>Televisor 42'' LED</t>
  </si>
  <si>
    <t>Heladera 12 pies, con freezer</t>
  </si>
  <si>
    <t>Cocina industrial 6 hornallas</t>
  </si>
  <si>
    <t>Televisor 42'' LED 3D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</si>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</sst>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2C0A]\ 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3" xfId="0" applyFont="1" applyFill="1" applyBorder="1" applyAlignment="1"/>
    <xf numFmtId="0" fontId="2" fillId="0" borderId="4" xfId="0" applyFont="1" applyFill="1" applyBorder="1" applyAlignment="1"/>
    <xf numFmtId="0" fontId="2" fillId="3" borderId="1" xfId="0" applyFont="1" applyFill="1" applyBorder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5" fontId="2" fillId="0" borderId="4" xfId="0" applyNumberFormat="1" applyFont="1" applyFill="1" applyBorder="1" applyAlignment="1"/>
    <xf numFmtId="0" fontId="0" fillId="0" borderId="0" xfId="0" applyNumberFormat="1"/>
    <xf numFmtId="0" fontId="2" fillId="0" borderId="0" xfId="0" applyFont="1" applyFill="1" applyBorder="1" applyAlignment="1"/>
    <xf numFmtId="0" fontId="0" fillId="0" borderId="0" xfId="0" applyBorder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/>
    <xf numFmtId="0" fontId="2" fillId="0" borderId="1" xfId="0" applyFont="1" applyFill="1" applyBorder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opLeftCell="A12" workbookViewId="0">
      <selection activeCell="A15" sqref="A15"/>
    </sheetView>
  </sheetViews>
  <sheetFormatPr defaultRowHeight="15"/>
  <cols>
    <col min="1" max="1" width="10.42578125" customWidth="1"/>
    <col min="2" max="2" width="25.7109375" bestFit="1" customWidth="1"/>
    <col min="3" max="3" width="10.28515625" bestFit="1" customWidth="1"/>
    <col min="4" max="4" width="14.28515625" customWidth="1"/>
    <col min="5" max="5" width="14.140625" customWidth="1"/>
  </cols>
  <sheetData>
    <row r="1" spans="1: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1" t="s">
        <v>5</v>
      </c>
      <c r="B2" s="2" t="s">
        <v>6</v>
      </c>
      <c r="C2" s="2">
        <v>5</v>
      </c>
      <c r="D2" s="6">
        <v>1200</v>
      </c>
      <c r="E2" s="6">
        <f>C2*D2</f>
        <v>6000</v>
      </c>
    </row>
    <row r="3" spans="1:5">
      <c r="A3" s="1" t="s">
        <v>5</v>
      </c>
      <c r="B3" s="2" t="s">
        <v>7</v>
      </c>
      <c r="C3" s="2">
        <v>4</v>
      </c>
      <c r="D3" s="6">
        <v>1800</v>
      </c>
      <c r="E3" s="6">
        <f t="shared" ref="E3:E15" si="0">C3*D3</f>
        <v>7200</v>
      </c>
    </row>
    <row r="4" spans="1:5">
      <c r="A4" s="1" t="s">
        <v>8</v>
      </c>
      <c r="B4" s="2" t="s">
        <v>9</v>
      </c>
      <c r="C4" s="3">
        <v>1</v>
      </c>
      <c r="D4" s="6">
        <v>1800</v>
      </c>
      <c r="E4" s="6">
        <f t="shared" si="0"/>
        <v>1800</v>
      </c>
    </row>
    <row r="5" spans="1:5">
      <c r="A5" s="1" t="s">
        <v>10</v>
      </c>
      <c r="B5" s="2" t="s">
        <v>11</v>
      </c>
      <c r="C5" s="3">
        <v>2</v>
      </c>
      <c r="D5" s="6">
        <v>2400</v>
      </c>
      <c r="E5" s="6">
        <f t="shared" si="0"/>
        <v>4800</v>
      </c>
    </row>
    <row r="6" spans="1:5">
      <c r="A6" s="1" t="s">
        <v>12</v>
      </c>
      <c r="B6" s="2" t="s">
        <v>13</v>
      </c>
      <c r="C6" s="2">
        <v>6</v>
      </c>
      <c r="D6" s="6">
        <v>2500</v>
      </c>
      <c r="E6" s="6">
        <f t="shared" si="0"/>
        <v>15000</v>
      </c>
    </row>
    <row r="7" spans="1:5">
      <c r="A7" s="1" t="s">
        <v>5</v>
      </c>
      <c r="B7" s="2" t="s">
        <v>14</v>
      </c>
      <c r="C7" s="3">
        <v>3</v>
      </c>
      <c r="D7" s="6">
        <v>2600</v>
      </c>
      <c r="E7" s="6">
        <f t="shared" si="0"/>
        <v>7800</v>
      </c>
    </row>
    <row r="8" spans="1:5">
      <c r="A8" s="1" t="s">
        <v>10</v>
      </c>
      <c r="B8" s="2" t="s">
        <v>15</v>
      </c>
      <c r="C8" s="3">
        <v>10</v>
      </c>
      <c r="D8" s="6">
        <v>4800</v>
      </c>
      <c r="E8" s="6">
        <f t="shared" si="0"/>
        <v>48000</v>
      </c>
    </row>
    <row r="9" spans="1:5">
      <c r="A9" s="1" t="s">
        <v>16</v>
      </c>
      <c r="B9" s="2" t="s">
        <v>17</v>
      </c>
      <c r="C9" s="2">
        <v>4</v>
      </c>
      <c r="D9" s="6">
        <v>5000</v>
      </c>
      <c r="E9" s="6">
        <f t="shared" si="0"/>
        <v>20000</v>
      </c>
    </row>
    <row r="10" spans="1:5">
      <c r="A10" s="1" t="s">
        <v>8</v>
      </c>
      <c r="B10" s="2" t="s">
        <v>18</v>
      </c>
      <c r="C10" s="3">
        <v>12</v>
      </c>
      <c r="D10" s="6">
        <v>6500</v>
      </c>
      <c r="E10" s="6">
        <f t="shared" si="0"/>
        <v>78000</v>
      </c>
    </row>
    <row r="11" spans="1:5">
      <c r="A11" s="1" t="s">
        <v>12</v>
      </c>
      <c r="B11" s="2" t="s">
        <v>19</v>
      </c>
      <c r="C11" s="2">
        <v>6</v>
      </c>
      <c r="D11" s="6">
        <v>6500</v>
      </c>
      <c r="E11" s="6">
        <f t="shared" si="0"/>
        <v>39000</v>
      </c>
    </row>
    <row r="12" spans="1:5">
      <c r="A12" s="1" t="s">
        <v>8</v>
      </c>
      <c r="B12" s="2" t="s">
        <v>20</v>
      </c>
      <c r="C12" s="3">
        <v>8</v>
      </c>
      <c r="D12" s="6">
        <v>7800</v>
      </c>
      <c r="E12" s="6">
        <f t="shared" si="0"/>
        <v>62400</v>
      </c>
    </row>
    <row r="13" spans="1:5">
      <c r="A13" s="1" t="s">
        <v>16</v>
      </c>
      <c r="B13" s="2" t="s">
        <v>21</v>
      </c>
      <c r="C13" s="3">
        <v>7</v>
      </c>
      <c r="D13" s="6">
        <v>8500</v>
      </c>
      <c r="E13" s="6">
        <f t="shared" si="0"/>
        <v>59500</v>
      </c>
    </row>
    <row r="14" spans="1:5">
      <c r="A14" s="1" t="s">
        <v>10</v>
      </c>
      <c r="B14" s="2" t="s">
        <v>22</v>
      </c>
      <c r="C14" s="3">
        <v>2</v>
      </c>
      <c r="D14" s="6">
        <v>9400</v>
      </c>
      <c r="E14" s="6">
        <f t="shared" si="0"/>
        <v>18800</v>
      </c>
    </row>
    <row r="15" spans="1:5">
      <c r="A15" s="1" t="s">
        <v>8</v>
      </c>
      <c r="B15" s="2" t="s">
        <v>23</v>
      </c>
      <c r="C15" s="3">
        <v>8</v>
      </c>
      <c r="D15" s="6">
        <v>12000</v>
      </c>
      <c r="E15" s="6">
        <f t="shared" si="0"/>
        <v>96000</v>
      </c>
    </row>
    <row r="17" spans="1:5">
      <c r="A17" s="7">
        <f>DMAX(A1:E15,4,A25:E26)</f>
        <v>8500</v>
      </c>
    </row>
    <row r="18" spans="1:5">
      <c r="A18">
        <f>DSUM(A1:E15,E1,A28:E29)</f>
        <v>6000</v>
      </c>
    </row>
    <row r="19" spans="1:5">
      <c r="A19">
        <f>DGET(A1:E15,D1,A31:E32)</f>
        <v>1800</v>
      </c>
    </row>
    <row r="20" spans="1:5">
      <c r="A20">
        <f>DCOUNT(A1:E15,C1,A34:F35)</f>
        <v>6</v>
      </c>
    </row>
    <row r="25" spans="1:5">
      <c r="A25" s="4" t="s">
        <v>0</v>
      </c>
      <c r="B25" s="5" t="s">
        <v>1</v>
      </c>
      <c r="C25" s="5" t="s">
        <v>2</v>
      </c>
      <c r="D25" s="5" t="s">
        <v>3</v>
      </c>
      <c r="E25" s="5" t="s">
        <v>4</v>
      </c>
    </row>
    <row r="26" spans="1:5">
      <c r="A26" t="s">
        <v>16</v>
      </c>
    </row>
    <row r="28" spans="1:5">
      <c r="A28" s="4" t="s">
        <v>0</v>
      </c>
      <c r="B28" s="5" t="s">
        <v>1</v>
      </c>
      <c r="C28" s="5" t="s">
        <v>2</v>
      </c>
      <c r="D28" s="5" t="s">
        <v>3</v>
      </c>
      <c r="E28" s="5" t="s">
        <v>4</v>
      </c>
    </row>
    <row r="29" spans="1:5">
      <c r="A29" t="s">
        <v>5</v>
      </c>
      <c r="C29" t="s">
        <v>24</v>
      </c>
    </row>
    <row r="31" spans="1:5">
      <c r="A31" s="4" t="s">
        <v>0</v>
      </c>
      <c r="B31" s="10" t="s">
        <v>1</v>
      </c>
      <c r="C31" s="10" t="s">
        <v>2</v>
      </c>
      <c r="D31" s="5" t="s">
        <v>3</v>
      </c>
      <c r="E31" s="5" t="s">
        <v>4</v>
      </c>
    </row>
    <row r="32" spans="1:5">
      <c r="B32" s="8" t="s">
        <v>7</v>
      </c>
      <c r="C32" s="9"/>
    </row>
    <row r="34" spans="1:6">
      <c r="A34" s="11" t="s">
        <v>0</v>
      </c>
      <c r="B34" s="10" t="s">
        <v>1</v>
      </c>
      <c r="C34" s="10" t="s">
        <v>2</v>
      </c>
      <c r="D34" s="10" t="s">
        <v>3</v>
      </c>
      <c r="E34" s="10" t="s">
        <v>4</v>
      </c>
      <c r="F34" s="10" t="s">
        <v>2</v>
      </c>
    </row>
    <row r="35" spans="1:6">
      <c r="A35" s="9"/>
      <c r="B35" s="9"/>
      <c r="C35" s="8" t="s">
        <v>25</v>
      </c>
      <c r="D35" s="9"/>
      <c r="E35" s="9"/>
      <c r="F35" t="s">
        <v>26</v>
      </c>
    </row>
    <row r="36" spans="1:6">
      <c r="A36" s="9"/>
      <c r="B36" s="9"/>
      <c r="C36" s="9"/>
      <c r="D36" s="9"/>
      <c r="E36" s="9"/>
    </row>
  </sheetData>
  <autoFilter ref="A1:E1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CB43-E89E-4CD1-8708-0CC907C77089}">
  <dimension ref="A1:E15"/>
  <sheetViews>
    <sheetView workbookViewId="0">
      <selection activeCell="C4" sqref="C4"/>
    </sheetView>
  </sheetViews>
  <sheetFormatPr defaultRowHeight="15"/>
  <cols>
    <col min="1" max="1" width="12.5703125" customWidth="1"/>
    <col min="2" max="2" width="25.7109375" bestFit="1" customWidth="1"/>
    <col min="3" max="3" width="10.28515625" bestFit="1" customWidth="1"/>
    <col min="4" max="4" width="12.85546875" bestFit="1" customWidth="1"/>
    <col min="5" max="5" width="13.85546875" customWidth="1"/>
  </cols>
  <sheetData>
    <row r="1" spans="1: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1" t="s">
        <v>10</v>
      </c>
      <c r="B2" s="2" t="s">
        <v>11</v>
      </c>
      <c r="C2" s="12">
        <v>2</v>
      </c>
      <c r="D2" s="6">
        <v>2400</v>
      </c>
      <c r="E2" s="6">
        <f>C2*D2</f>
        <v>4800</v>
      </c>
    </row>
    <row r="3" spans="1:5">
      <c r="A3" s="1" t="s">
        <v>10</v>
      </c>
      <c r="B3" s="2" t="s">
        <v>15</v>
      </c>
      <c r="C3" s="12">
        <v>10</v>
      </c>
      <c r="D3" s="6">
        <v>4800</v>
      </c>
      <c r="E3" s="6">
        <f>C3*D3</f>
        <v>48000</v>
      </c>
    </row>
    <row r="4" spans="1:5">
      <c r="A4" s="1" t="s">
        <v>10</v>
      </c>
      <c r="B4" s="2" t="s">
        <v>22</v>
      </c>
      <c r="C4" s="3">
        <v>2</v>
      </c>
      <c r="D4" s="6">
        <v>9400</v>
      </c>
      <c r="E4" s="6">
        <f>C4*D4</f>
        <v>18800</v>
      </c>
    </row>
    <row r="5" spans="1:5">
      <c r="A5" s="1" t="s">
        <v>16</v>
      </c>
      <c r="B5" s="2" t="s">
        <v>17</v>
      </c>
      <c r="C5" s="13">
        <v>4</v>
      </c>
      <c r="D5" s="6">
        <v>5000</v>
      </c>
      <c r="E5" s="6">
        <f>C5*D5</f>
        <v>20000</v>
      </c>
    </row>
    <row r="6" spans="1:5">
      <c r="A6" s="1" t="s">
        <v>16</v>
      </c>
      <c r="B6" s="2" t="s">
        <v>21</v>
      </c>
      <c r="C6" s="12">
        <v>7</v>
      </c>
      <c r="D6" s="6">
        <v>8500</v>
      </c>
      <c r="E6" s="6">
        <f>C6*D6</f>
        <v>59500</v>
      </c>
    </row>
    <row r="7" spans="1:5">
      <c r="A7" s="1" t="s">
        <v>5</v>
      </c>
      <c r="B7" s="2" t="s">
        <v>6</v>
      </c>
      <c r="C7" s="13">
        <v>5</v>
      </c>
      <c r="D7" s="6">
        <v>1200</v>
      </c>
      <c r="E7" s="6">
        <f>C7*D7</f>
        <v>6000</v>
      </c>
    </row>
    <row r="8" spans="1:5">
      <c r="A8" s="1" t="s">
        <v>5</v>
      </c>
      <c r="B8" s="2" t="s">
        <v>14</v>
      </c>
      <c r="C8" s="3">
        <v>3</v>
      </c>
      <c r="D8" s="6">
        <v>2600</v>
      </c>
      <c r="E8" s="6">
        <f>C8*D8</f>
        <v>7800</v>
      </c>
    </row>
    <row r="9" spans="1:5">
      <c r="A9" s="1" t="s">
        <v>5</v>
      </c>
      <c r="B9" s="2" t="s">
        <v>7</v>
      </c>
      <c r="C9" s="2">
        <v>4</v>
      </c>
      <c r="D9" s="6">
        <v>1800</v>
      </c>
      <c r="E9" s="6">
        <f>C9*D9</f>
        <v>7200</v>
      </c>
    </row>
    <row r="10" spans="1:5">
      <c r="A10" s="1" t="s">
        <v>8</v>
      </c>
      <c r="B10" s="2" t="s">
        <v>18</v>
      </c>
      <c r="C10" s="3">
        <v>12</v>
      </c>
      <c r="D10" s="6">
        <v>6500</v>
      </c>
      <c r="E10" s="6">
        <f>C10*D10</f>
        <v>78000</v>
      </c>
    </row>
    <row r="11" spans="1:5">
      <c r="A11" s="1" t="s">
        <v>8</v>
      </c>
      <c r="B11" s="2" t="s">
        <v>20</v>
      </c>
      <c r="C11" s="12">
        <v>8</v>
      </c>
      <c r="D11" s="6">
        <v>7800</v>
      </c>
      <c r="E11" s="6">
        <f>C11*D11</f>
        <v>62400</v>
      </c>
    </row>
    <row r="12" spans="1:5">
      <c r="A12" s="1" t="s">
        <v>8</v>
      </c>
      <c r="B12" s="2" t="s">
        <v>23</v>
      </c>
      <c r="C12" s="3">
        <v>8</v>
      </c>
      <c r="D12" s="6">
        <v>12000</v>
      </c>
      <c r="E12" s="6">
        <f>C12*D12</f>
        <v>96000</v>
      </c>
    </row>
    <row r="13" spans="1:5">
      <c r="A13" s="1" t="s">
        <v>8</v>
      </c>
      <c r="B13" s="2" t="s">
        <v>9</v>
      </c>
      <c r="C13" s="3">
        <v>1</v>
      </c>
      <c r="D13" s="6">
        <v>1800</v>
      </c>
      <c r="E13" s="6">
        <f>C13*D13</f>
        <v>1800</v>
      </c>
    </row>
    <row r="14" spans="1:5">
      <c r="A14" s="1" t="s">
        <v>12</v>
      </c>
      <c r="B14" s="2" t="s">
        <v>19</v>
      </c>
      <c r="C14" s="13">
        <v>6</v>
      </c>
      <c r="D14" s="6">
        <v>6500</v>
      </c>
      <c r="E14" s="6">
        <f>C14*D14</f>
        <v>39000</v>
      </c>
    </row>
    <row r="15" spans="1:5">
      <c r="A15" s="1" t="s">
        <v>12</v>
      </c>
      <c r="B15" s="2" t="s">
        <v>13</v>
      </c>
      <c r="C15" s="13">
        <v>6</v>
      </c>
      <c r="D15" s="6">
        <v>2500</v>
      </c>
      <c r="E15" s="6">
        <f>C15*D15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D0004-93E8-48A1-AFE5-0AF61547F6EB}">
  <dimension ref="A1:E20"/>
  <sheetViews>
    <sheetView tabSelected="1" workbookViewId="0">
      <selection activeCell="A18" sqref="A18:A20"/>
    </sheetView>
  </sheetViews>
  <sheetFormatPr defaultRowHeight="15"/>
  <cols>
    <col min="1" max="1" width="19.5703125" bestFit="1" customWidth="1"/>
    <col min="2" max="2" width="25.7109375" bestFit="1" customWidth="1"/>
    <col min="3" max="3" width="10.28515625" bestFit="1" customWidth="1"/>
    <col min="4" max="4" width="14.85546875" customWidth="1"/>
    <col min="5" max="5" width="13.5703125" customWidth="1"/>
  </cols>
  <sheetData>
    <row r="1" spans="1: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1" t="s">
        <v>5</v>
      </c>
      <c r="B2" s="2" t="s">
        <v>6</v>
      </c>
      <c r="C2" s="2">
        <v>5</v>
      </c>
      <c r="D2" s="6">
        <v>1200</v>
      </c>
      <c r="E2" s="6">
        <f>C2*D2</f>
        <v>6000</v>
      </c>
    </row>
    <row r="3" spans="1:5">
      <c r="A3" s="1" t="s">
        <v>5</v>
      </c>
      <c r="B3" s="2" t="s">
        <v>7</v>
      </c>
      <c r="C3" s="2">
        <v>4</v>
      </c>
      <c r="D3" s="6">
        <v>1800</v>
      </c>
      <c r="E3" s="6">
        <f t="shared" ref="E3:E15" si="0">C3*D3</f>
        <v>7200</v>
      </c>
    </row>
    <row r="4" spans="1:5">
      <c r="A4" s="1" t="s">
        <v>8</v>
      </c>
      <c r="B4" s="2" t="s">
        <v>9</v>
      </c>
      <c r="C4" s="3">
        <v>1</v>
      </c>
      <c r="D4" s="6">
        <v>1800</v>
      </c>
      <c r="E4" s="6">
        <f t="shared" si="0"/>
        <v>1800</v>
      </c>
    </row>
    <row r="5" spans="1:5">
      <c r="A5" s="1" t="s">
        <v>10</v>
      </c>
      <c r="B5" s="2" t="s">
        <v>11</v>
      </c>
      <c r="C5" s="3">
        <v>2</v>
      </c>
      <c r="D5" s="6">
        <v>2400</v>
      </c>
      <c r="E5" s="6">
        <f t="shared" si="0"/>
        <v>4800</v>
      </c>
    </row>
    <row r="6" spans="1:5">
      <c r="A6" s="1" t="s">
        <v>12</v>
      </c>
      <c r="B6" s="2" t="s">
        <v>13</v>
      </c>
      <c r="C6" s="2">
        <v>6</v>
      </c>
      <c r="D6" s="6">
        <v>2500</v>
      </c>
      <c r="E6" s="6">
        <f t="shared" si="0"/>
        <v>15000</v>
      </c>
    </row>
    <row r="7" spans="1:5">
      <c r="A7" s="1" t="s">
        <v>5</v>
      </c>
      <c r="B7" s="2" t="s">
        <v>14</v>
      </c>
      <c r="C7" s="3">
        <v>3</v>
      </c>
      <c r="D7" s="6">
        <v>2600</v>
      </c>
      <c r="E7" s="6">
        <f t="shared" si="0"/>
        <v>7800</v>
      </c>
    </row>
    <row r="8" spans="1:5">
      <c r="A8" s="1" t="s">
        <v>10</v>
      </c>
      <c r="B8" s="2" t="s">
        <v>15</v>
      </c>
      <c r="C8" s="3">
        <v>10</v>
      </c>
      <c r="D8" s="6">
        <v>4800</v>
      </c>
      <c r="E8" s="6">
        <f t="shared" si="0"/>
        <v>48000</v>
      </c>
    </row>
    <row r="9" spans="1:5">
      <c r="A9" s="1" t="s">
        <v>16</v>
      </c>
      <c r="B9" s="2" t="s">
        <v>17</v>
      </c>
      <c r="C9" s="2">
        <v>4</v>
      </c>
      <c r="D9" s="6">
        <v>5000</v>
      </c>
      <c r="E9" s="6">
        <f t="shared" si="0"/>
        <v>20000</v>
      </c>
    </row>
    <row r="10" spans="1:5">
      <c r="A10" s="1" t="s">
        <v>8</v>
      </c>
      <c r="B10" s="2" t="s">
        <v>18</v>
      </c>
      <c r="C10" s="3">
        <v>12</v>
      </c>
      <c r="D10" s="6">
        <v>6500</v>
      </c>
      <c r="E10" s="6">
        <f t="shared" si="0"/>
        <v>78000</v>
      </c>
    </row>
    <row r="11" spans="1:5">
      <c r="A11" s="1" t="s">
        <v>12</v>
      </c>
      <c r="B11" s="2" t="s">
        <v>19</v>
      </c>
      <c r="C11" s="2">
        <v>6</v>
      </c>
      <c r="D11" s="6">
        <v>6500</v>
      </c>
      <c r="E11" s="6">
        <f t="shared" si="0"/>
        <v>39000</v>
      </c>
    </row>
    <row r="12" spans="1:5">
      <c r="A12" s="1" t="s">
        <v>8</v>
      </c>
      <c r="B12" s="2" t="s">
        <v>20</v>
      </c>
      <c r="C12" s="3">
        <v>8</v>
      </c>
      <c r="D12" s="6">
        <v>7800</v>
      </c>
      <c r="E12" s="6">
        <f t="shared" si="0"/>
        <v>62400</v>
      </c>
    </row>
    <row r="13" spans="1:5">
      <c r="A13" s="1" t="s">
        <v>16</v>
      </c>
      <c r="B13" s="2" t="s">
        <v>21</v>
      </c>
      <c r="C13" s="3">
        <v>7</v>
      </c>
      <c r="D13" s="6">
        <v>8500</v>
      </c>
      <c r="E13" s="6">
        <f t="shared" si="0"/>
        <v>59500</v>
      </c>
    </row>
    <row r="14" spans="1:5">
      <c r="A14" s="1" t="s">
        <v>10</v>
      </c>
      <c r="B14" s="2" t="s">
        <v>22</v>
      </c>
      <c r="C14" s="3">
        <v>2</v>
      </c>
      <c r="D14" s="6">
        <v>9400</v>
      </c>
      <c r="E14" s="6">
        <f t="shared" si="0"/>
        <v>18800</v>
      </c>
    </row>
    <row r="15" spans="1:5">
      <c r="A15" s="1" t="s">
        <v>8</v>
      </c>
      <c r="B15" s="2" t="s">
        <v>23</v>
      </c>
      <c r="C15" s="3">
        <v>8</v>
      </c>
      <c r="D15" s="6">
        <v>12000</v>
      </c>
      <c r="E15" s="6">
        <f t="shared" si="0"/>
        <v>96000</v>
      </c>
    </row>
    <row r="18" spans="1:2">
      <c r="A18" s="14" t="s">
        <v>27</v>
      </c>
      <c r="B18">
        <f>SUMIFS(E2:E15,A2:A15,"C",C2:C15,"&lt;10")</f>
        <v>23600</v>
      </c>
    </row>
    <row r="19" spans="1:2">
      <c r="A19" s="14" t="s">
        <v>28</v>
      </c>
      <c r="B19">
        <f>COUNTIFS(A2:A15,"R",D2:D15,"&gt;2000",C2:C15,"&lt;4")</f>
        <v>1</v>
      </c>
    </row>
    <row r="20" spans="1:2">
      <c r="A20" s="14" t="s">
        <v>29</v>
      </c>
      <c r="B20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2026-02-04T19:10:52Z</dcterms:created>
  <dcterms:modified xsi:type="dcterms:W3CDTF">2026-02-04T20:01:47Z</dcterms:modified>
  <cp:category/>
  <cp:contentStatus/>
</cp:coreProperties>
</file>