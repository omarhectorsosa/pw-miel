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BA9EACC-864C-433D-96EF-293A3F0390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2" i="1"/>
  <c r="Y11" i="1"/>
  <c r="Y10" i="1"/>
  <c r="Y9" i="1"/>
  <c r="Y8" i="1"/>
  <c r="Y7" i="1"/>
  <c r="Y6" i="1"/>
  <c r="Y5" i="1"/>
  <c r="Y4" i="1"/>
  <c r="Y3" i="1"/>
  <c r="Y2" i="1"/>
  <c r="Q35" i="1"/>
  <c r="Q34" i="1"/>
  <c r="Q33" i="1"/>
  <c r="Q31" i="1"/>
  <c r="Q30" i="1"/>
  <c r="Q29" i="1"/>
  <c r="Q21" i="1"/>
  <c r="Q20" i="1"/>
  <c r="Q19" i="1"/>
  <c r="Q18" i="1"/>
  <c r="Q17" i="1"/>
  <c r="Q16" i="1"/>
  <c r="Q15" i="1"/>
  <c r="Q3" i="1"/>
  <c r="E5" i="1"/>
  <c r="E6" i="1"/>
  <c r="E15" i="1"/>
  <c r="E7" i="1"/>
  <c r="E11" i="1"/>
  <c r="E10" i="1"/>
  <c r="E2" i="1"/>
  <c r="E8" i="1"/>
  <c r="E3" i="1"/>
  <c r="E13" i="1"/>
  <c r="E4" i="1"/>
  <c r="E9" i="1"/>
  <c r="E12" i="1"/>
  <c r="E14" i="1"/>
</calcChain>
</file>

<file path=xl/sharedStrings.xml><?xml version="1.0" encoding="utf-8"?>
<sst xmlns="http://schemas.openxmlformats.org/spreadsheetml/2006/main" count="114" uniqueCount="28">
  <si>
    <t>CODIGO</t>
  </si>
  <si>
    <t>DESCRIPCION</t>
  </si>
  <si>
    <t>CANTIDAD</t>
  </si>
  <si>
    <t>PRECIO UNIT</t>
  </si>
  <si>
    <t>TOTAL</t>
  </si>
  <si>
    <t>5.a</t>
  </si>
  <si>
    <t>5.d</t>
  </si>
  <si>
    <t>R</t>
  </si>
  <si>
    <t xml:space="preserve">Radui AM/FM 3 bandas </t>
  </si>
  <si>
    <t>T</t>
  </si>
  <si>
    <t>Televisor 42 LED</t>
  </si>
  <si>
    <t xml:space="preserve">Radio onda corta </t>
  </si>
  <si>
    <t>TV portatil (12V)</t>
  </si>
  <si>
    <t>H</t>
  </si>
  <si>
    <t xml:space="preserve">Heladera 12 pies,con freezer </t>
  </si>
  <si>
    <t>C</t>
  </si>
  <si>
    <t xml:space="preserve">Anafe 2 hornallas </t>
  </si>
  <si>
    <t>V</t>
  </si>
  <si>
    <t>Ventilador 25 giratorio</t>
  </si>
  <si>
    <t>Radio con CS y mp3</t>
  </si>
  <si>
    <t>Cocina 4 hornallas</t>
  </si>
  <si>
    <t xml:space="preserve">Freezer carga superior </t>
  </si>
  <si>
    <t>Cocina industrial 6 hornallas</t>
  </si>
  <si>
    <t>Televisor 32</t>
  </si>
  <si>
    <t>Televisor 42 LED 3D</t>
  </si>
  <si>
    <t>Aire acondicionado F/C</t>
  </si>
  <si>
    <t>5.b</t>
  </si>
  <si>
    <t>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</si>
</sst>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14">
    <dxf>
      <font>
        <color theme="1"/>
      </font>
      <fill>
        <patternFill patternType="solid">
          <bgColor rgb="FF92D050"/>
        </patternFill>
      </fill>
    </dxf>
    <dxf>
      <font>
        <color rgb="FF9C0006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5"/>
  <sheetViews>
    <sheetView tabSelected="1" workbookViewId="0">
      <selection activeCell="U1" sqref="U1:Y11"/>
    </sheetView>
  </sheetViews>
  <sheetFormatPr defaultRowHeight="15"/>
  <cols>
    <col min="2" max="2" width="26.28515625" bestFit="1" customWidth="1"/>
    <col min="3" max="3" width="10.140625" bestFit="1" customWidth="1"/>
    <col min="4" max="5" width="12.140625" bestFit="1" customWidth="1"/>
    <col min="9" max="9" width="15.28515625" bestFit="1" customWidth="1"/>
    <col min="11" max="11" width="11" bestFit="1" customWidth="1"/>
    <col min="14" max="14" width="15.140625" customWidth="1"/>
    <col min="16" max="16" width="11" bestFit="1" customWidth="1"/>
    <col min="17" max="17" width="17.28515625" customWidth="1"/>
    <col min="24" max="24" width="12" customWidth="1"/>
    <col min="25" max="25" width="17.140625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L1" t="s">
        <v>5</v>
      </c>
      <c r="M1" s="2" t="s">
        <v>0</v>
      </c>
      <c r="N1" s="2" t="s">
        <v>1</v>
      </c>
      <c r="O1" s="2" t="s">
        <v>2</v>
      </c>
      <c r="P1" s="2" t="s">
        <v>3</v>
      </c>
      <c r="Q1" s="2" t="s">
        <v>4</v>
      </c>
      <c r="T1" t="s">
        <v>6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</row>
    <row r="2" spans="1:25">
      <c r="A2" s="3" t="s">
        <v>7</v>
      </c>
      <c r="B2" s="3" t="s">
        <v>8</v>
      </c>
      <c r="C2" s="3">
        <v>5</v>
      </c>
      <c r="D2" s="4">
        <v>1200</v>
      </c>
      <c r="E2" s="4">
        <f>PRODUCT(C2,D2)</f>
        <v>6000</v>
      </c>
      <c r="K2" s="1"/>
      <c r="L2" s="1"/>
      <c r="M2" s="3" t="s">
        <v>9</v>
      </c>
      <c r="N2" s="3" t="s">
        <v>10</v>
      </c>
      <c r="O2" s="3">
        <v>8</v>
      </c>
      <c r="P2" s="4">
        <v>7800</v>
      </c>
      <c r="Q2" s="4">
        <f>PRODUCT(O2,P2)</f>
        <v>62400</v>
      </c>
      <c r="U2" s="3" t="s">
        <v>7</v>
      </c>
      <c r="V2" s="3" t="s">
        <v>8</v>
      </c>
      <c r="W2" s="3">
        <v>5</v>
      </c>
      <c r="X2" s="4">
        <v>1200</v>
      </c>
      <c r="Y2" s="4">
        <f>PRODUCT(W2,X2)</f>
        <v>6000</v>
      </c>
    </row>
    <row r="3" spans="1:25">
      <c r="A3" s="3" t="s">
        <v>7</v>
      </c>
      <c r="B3" s="3" t="s">
        <v>11</v>
      </c>
      <c r="C3" s="3">
        <v>4</v>
      </c>
      <c r="D3" s="4">
        <v>1800</v>
      </c>
      <c r="E3" s="4">
        <f>PRODUCT(C3,D3)</f>
        <v>7200</v>
      </c>
      <c r="K3" s="1"/>
      <c r="L3" s="1"/>
      <c r="M3" s="3" t="s">
        <v>9</v>
      </c>
      <c r="N3" s="3" t="s">
        <v>12</v>
      </c>
      <c r="O3" s="3">
        <v>1</v>
      </c>
      <c r="P3" s="4">
        <v>1800</v>
      </c>
      <c r="Q3" s="4">
        <f t="shared" ref="Q3" si="0">PRODUCT(O3,P3)</f>
        <v>1800</v>
      </c>
      <c r="U3" s="3" t="s">
        <v>7</v>
      </c>
      <c r="V3" s="3" t="s">
        <v>11</v>
      </c>
      <c r="W3" s="3">
        <v>4</v>
      </c>
      <c r="X3" s="4">
        <v>1800</v>
      </c>
      <c r="Y3" s="4">
        <f>PRODUCT(W3,X3)</f>
        <v>7200</v>
      </c>
    </row>
    <row r="4" spans="1:25">
      <c r="A4" s="3" t="s">
        <v>13</v>
      </c>
      <c r="B4" s="3" t="s">
        <v>14</v>
      </c>
      <c r="C4" s="3">
        <v>7</v>
      </c>
      <c r="D4" s="4">
        <v>8500</v>
      </c>
      <c r="E4" s="4">
        <f>PRODUCT(C4,D4)</f>
        <v>59500</v>
      </c>
      <c r="K4" s="1"/>
      <c r="S4" s="1"/>
      <c r="T4" s="1"/>
      <c r="U4" s="3" t="s">
        <v>9</v>
      </c>
      <c r="V4" s="3" t="s">
        <v>12</v>
      </c>
      <c r="W4" s="3">
        <v>1</v>
      </c>
      <c r="X4" s="4">
        <v>1800</v>
      </c>
      <c r="Y4" s="4">
        <f>PRODUCT(W4,X4)</f>
        <v>1800</v>
      </c>
    </row>
    <row r="5" spans="1:25">
      <c r="A5" s="3" t="s">
        <v>9</v>
      </c>
      <c r="B5" s="3" t="s">
        <v>12</v>
      </c>
      <c r="C5" s="3">
        <v>1</v>
      </c>
      <c r="D5" s="4">
        <v>1800</v>
      </c>
      <c r="E5" s="4">
        <f>PRODUCT(C5,D5)</f>
        <v>1800</v>
      </c>
      <c r="S5" s="1"/>
      <c r="T5" s="1"/>
      <c r="U5" s="3" t="s">
        <v>15</v>
      </c>
      <c r="V5" s="3" t="s">
        <v>16</v>
      </c>
      <c r="W5" s="3">
        <v>2</v>
      </c>
      <c r="X5" s="4">
        <v>2400</v>
      </c>
      <c r="Y5" s="4">
        <f>PRODUCT(W5,X5)</f>
        <v>4800</v>
      </c>
    </row>
    <row r="6" spans="1:25">
      <c r="A6" s="3" t="s">
        <v>15</v>
      </c>
      <c r="B6" s="3" t="s">
        <v>16</v>
      </c>
      <c r="C6" s="3">
        <v>2</v>
      </c>
      <c r="D6" s="4">
        <v>2400</v>
      </c>
      <c r="E6" s="4">
        <f>PRODUCT(C6,D6)</f>
        <v>4800</v>
      </c>
      <c r="U6" s="3" t="s">
        <v>17</v>
      </c>
      <c r="V6" s="3" t="s">
        <v>18</v>
      </c>
      <c r="W6" s="3">
        <v>6</v>
      </c>
      <c r="X6" s="4">
        <v>2500</v>
      </c>
      <c r="Y6" s="4">
        <f>PRODUCT(W6,X6)</f>
        <v>15000</v>
      </c>
    </row>
    <row r="7" spans="1:25">
      <c r="A7" s="3" t="s">
        <v>17</v>
      </c>
      <c r="B7" s="3" t="s">
        <v>18</v>
      </c>
      <c r="C7" s="3">
        <v>6</v>
      </c>
      <c r="D7" s="4">
        <v>2500</v>
      </c>
      <c r="E7" s="4">
        <f>PRODUCT(C7,D7)</f>
        <v>15000</v>
      </c>
      <c r="U7" s="3" t="s">
        <v>7</v>
      </c>
      <c r="V7" s="3" t="s">
        <v>19</v>
      </c>
      <c r="W7" s="3">
        <v>3</v>
      </c>
      <c r="X7" s="4">
        <v>2600</v>
      </c>
      <c r="Y7" s="4">
        <f>PRODUCT(W7,X7)</f>
        <v>7800</v>
      </c>
    </row>
    <row r="8" spans="1:25">
      <c r="A8" s="3" t="s">
        <v>7</v>
      </c>
      <c r="B8" s="3" t="s">
        <v>19</v>
      </c>
      <c r="C8" s="3">
        <v>3</v>
      </c>
      <c r="D8" s="4">
        <v>2600</v>
      </c>
      <c r="E8" s="4">
        <f>PRODUCT(C8,D8)</f>
        <v>7800</v>
      </c>
      <c r="U8" s="3" t="s">
        <v>15</v>
      </c>
      <c r="V8" s="3" t="s">
        <v>20</v>
      </c>
      <c r="W8" s="3">
        <v>10</v>
      </c>
      <c r="X8" s="4">
        <v>4800</v>
      </c>
      <c r="Y8" s="4">
        <f>PRODUCT(W8,X8)</f>
        <v>48000</v>
      </c>
    </row>
    <row r="9" spans="1:25">
      <c r="A9" s="3" t="s">
        <v>9</v>
      </c>
      <c r="B9" s="3" t="s">
        <v>10</v>
      </c>
      <c r="C9" s="3">
        <v>8</v>
      </c>
      <c r="D9" s="4">
        <v>7800</v>
      </c>
      <c r="E9" s="4">
        <f>PRODUCT(C9,D9)</f>
        <v>62400</v>
      </c>
      <c r="U9" s="3" t="s">
        <v>13</v>
      </c>
      <c r="V9" s="3" t="s">
        <v>21</v>
      </c>
      <c r="W9" s="3">
        <v>4</v>
      </c>
      <c r="X9" s="4">
        <v>5000</v>
      </c>
      <c r="Y9" s="4">
        <f>PRODUCT(W9,X9)</f>
        <v>20000</v>
      </c>
    </row>
    <row r="10" spans="1:25">
      <c r="A10" s="3" t="s">
        <v>15</v>
      </c>
      <c r="B10" s="3" t="s">
        <v>22</v>
      </c>
      <c r="C10" s="3">
        <v>2</v>
      </c>
      <c r="D10" s="4">
        <v>9400</v>
      </c>
      <c r="E10" s="4">
        <f>PRODUCT(C10,D10)</f>
        <v>18800</v>
      </c>
      <c r="U10" s="3" t="s">
        <v>9</v>
      </c>
      <c r="V10" s="3" t="s">
        <v>23</v>
      </c>
      <c r="W10" s="3">
        <v>12</v>
      </c>
      <c r="X10" s="4">
        <v>6500</v>
      </c>
      <c r="Y10" s="4">
        <f>PRODUCT(W10,X10)</f>
        <v>78000</v>
      </c>
    </row>
    <row r="11" spans="1:25">
      <c r="A11" s="3" t="s">
        <v>9</v>
      </c>
      <c r="B11" s="3" t="s">
        <v>24</v>
      </c>
      <c r="C11" s="3">
        <v>8</v>
      </c>
      <c r="D11" s="4">
        <v>12000</v>
      </c>
      <c r="E11" s="4">
        <f>PRODUCT(C11,D11)</f>
        <v>96000</v>
      </c>
      <c r="U11" s="3" t="s">
        <v>17</v>
      </c>
      <c r="V11" s="3" t="s">
        <v>25</v>
      </c>
      <c r="W11" s="3">
        <v>6</v>
      </c>
      <c r="X11" s="4">
        <v>6500</v>
      </c>
      <c r="Y11" s="4">
        <f>PRODUCT(W11,X11)</f>
        <v>39000</v>
      </c>
    </row>
    <row r="12" spans="1:25">
      <c r="A12" s="3" t="s">
        <v>15</v>
      </c>
      <c r="B12" s="3" t="s">
        <v>20</v>
      </c>
      <c r="C12" s="3">
        <v>10</v>
      </c>
      <c r="D12" s="4">
        <v>4800</v>
      </c>
      <c r="E12" s="4">
        <f>PRODUCT(C12,D12)</f>
        <v>48000</v>
      </c>
    </row>
    <row r="13" spans="1:25">
      <c r="A13" s="3" t="s">
        <v>13</v>
      </c>
      <c r="B13" s="3" t="s">
        <v>21</v>
      </c>
      <c r="C13" s="3">
        <v>4</v>
      </c>
      <c r="D13" s="4">
        <v>5000</v>
      </c>
      <c r="E13" s="4">
        <f>PRODUCT(C13,D13)</f>
        <v>20000</v>
      </c>
      <c r="L13" t="s">
        <v>26</v>
      </c>
      <c r="M13" s="2" t="s">
        <v>0</v>
      </c>
      <c r="N13" s="2" t="s">
        <v>1</v>
      </c>
      <c r="O13" s="2" t="s">
        <v>2</v>
      </c>
      <c r="P13" s="2" t="s">
        <v>3</v>
      </c>
      <c r="Q13" s="2" t="s">
        <v>4</v>
      </c>
    </row>
    <row r="14" spans="1:25">
      <c r="A14" s="3" t="s">
        <v>9</v>
      </c>
      <c r="B14" s="3" t="s">
        <v>23</v>
      </c>
      <c r="C14" s="3">
        <v>12</v>
      </c>
      <c r="D14" s="4">
        <v>6500</v>
      </c>
      <c r="E14" s="4">
        <f>PRODUCT(C14,D14)</f>
        <v>78000</v>
      </c>
      <c r="M14" s="3" t="s">
        <v>13</v>
      </c>
      <c r="N14" s="3" t="s">
        <v>14</v>
      </c>
      <c r="O14" s="3">
        <v>7</v>
      </c>
      <c r="P14" s="4">
        <v>8500</v>
      </c>
      <c r="Q14" s="4">
        <f>PRODUCT(O14,P14)</f>
        <v>59500</v>
      </c>
    </row>
    <row r="15" spans="1:25">
      <c r="A15" s="3" t="s">
        <v>17</v>
      </c>
      <c r="B15" s="3" t="s">
        <v>25</v>
      </c>
      <c r="C15" s="3">
        <v>6</v>
      </c>
      <c r="D15" s="4">
        <v>6500</v>
      </c>
      <c r="E15" s="4">
        <f>PRODUCT(C15,D15)</f>
        <v>39000</v>
      </c>
      <c r="K15" s="1"/>
      <c r="M15" s="3" t="s">
        <v>13</v>
      </c>
      <c r="N15" s="3" t="s">
        <v>21</v>
      </c>
      <c r="O15" s="3">
        <v>4</v>
      </c>
      <c r="P15" s="4">
        <v>5000</v>
      </c>
      <c r="Q15" s="4">
        <f>PRODUCT(O15,P15)</f>
        <v>20000</v>
      </c>
    </row>
    <row r="16" spans="1:25">
      <c r="M16" s="3" t="s">
        <v>7</v>
      </c>
      <c r="N16" s="3" t="s">
        <v>11</v>
      </c>
      <c r="O16" s="3">
        <v>4</v>
      </c>
      <c r="P16" s="4">
        <v>1800</v>
      </c>
      <c r="Q16" s="4">
        <f>PRODUCT(O16,P16)</f>
        <v>7200</v>
      </c>
    </row>
    <row r="17" spans="12:17">
      <c r="M17" s="3" t="s">
        <v>7</v>
      </c>
      <c r="N17" s="3" t="s">
        <v>8</v>
      </c>
      <c r="O17" s="3">
        <v>5</v>
      </c>
      <c r="P17" s="4">
        <v>1200</v>
      </c>
      <c r="Q17" s="4">
        <f>PRODUCT(O17,P17)</f>
        <v>6000</v>
      </c>
    </row>
    <row r="18" spans="12:17">
      <c r="M18" s="3" t="s">
        <v>9</v>
      </c>
      <c r="N18" s="3" t="s">
        <v>10</v>
      </c>
      <c r="O18" s="3">
        <v>8</v>
      </c>
      <c r="P18" s="4">
        <v>7800</v>
      </c>
      <c r="Q18" s="4">
        <f>PRODUCT(O18,P18)</f>
        <v>62400</v>
      </c>
    </row>
    <row r="19" spans="12:17">
      <c r="M19" s="3" t="s">
        <v>9</v>
      </c>
      <c r="N19" s="3" t="s">
        <v>24</v>
      </c>
      <c r="O19" s="3">
        <v>8</v>
      </c>
      <c r="P19" s="4">
        <v>12000</v>
      </c>
      <c r="Q19" s="4">
        <f>PRODUCT(O19,P19)</f>
        <v>96000</v>
      </c>
    </row>
    <row r="20" spans="12:17">
      <c r="M20" s="3" t="s">
        <v>17</v>
      </c>
      <c r="N20" s="3" t="s">
        <v>18</v>
      </c>
      <c r="O20" s="3">
        <v>6</v>
      </c>
      <c r="P20" s="4">
        <v>2500</v>
      </c>
      <c r="Q20" s="4">
        <f>PRODUCT(O20,P20)</f>
        <v>15000</v>
      </c>
    </row>
    <row r="21" spans="12:17">
      <c r="M21" s="3" t="s">
        <v>17</v>
      </c>
      <c r="N21" s="3" t="s">
        <v>25</v>
      </c>
      <c r="O21" s="3">
        <v>6</v>
      </c>
      <c r="P21" s="4">
        <v>6500</v>
      </c>
      <c r="Q21" s="4">
        <f>PRODUCT(O21,P21)</f>
        <v>39000</v>
      </c>
    </row>
    <row r="28" spans="12:17">
      <c r="L28" t="s">
        <v>27</v>
      </c>
      <c r="M28" s="2" t="s">
        <v>0</v>
      </c>
      <c r="N28" s="2" t="s">
        <v>1</v>
      </c>
      <c r="O28" s="2" t="s">
        <v>2</v>
      </c>
      <c r="P28" s="2" t="s">
        <v>3</v>
      </c>
      <c r="Q28" s="2" t="s">
        <v>4</v>
      </c>
    </row>
    <row r="29" spans="12:17">
      <c r="M29" s="3" t="s">
        <v>7</v>
      </c>
      <c r="N29" s="3" t="s">
        <v>11</v>
      </c>
      <c r="O29" s="3">
        <v>4</v>
      </c>
      <c r="P29" s="4">
        <v>1800</v>
      </c>
      <c r="Q29" s="4">
        <f>PRODUCT(O29,P29)</f>
        <v>7200</v>
      </c>
    </row>
    <row r="30" spans="12:17">
      <c r="M30" s="3" t="s">
        <v>7</v>
      </c>
      <c r="N30" s="3" t="s">
        <v>8</v>
      </c>
      <c r="O30" s="3">
        <v>5</v>
      </c>
      <c r="P30" s="4">
        <v>1200</v>
      </c>
      <c r="Q30" s="4">
        <f>PRODUCT(O30,P30)</f>
        <v>6000</v>
      </c>
    </row>
    <row r="31" spans="12:17">
      <c r="M31" s="3" t="s">
        <v>7</v>
      </c>
      <c r="N31" s="3" t="s">
        <v>19</v>
      </c>
      <c r="O31" s="3">
        <v>3</v>
      </c>
      <c r="P31" s="4">
        <v>2600</v>
      </c>
      <c r="Q31" s="4">
        <f>PRODUCT(O31,P31)</f>
        <v>7800</v>
      </c>
    </row>
    <row r="32" spans="12:17">
      <c r="M32" s="3" t="s">
        <v>0</v>
      </c>
      <c r="N32" s="3" t="s">
        <v>1</v>
      </c>
      <c r="O32" s="3" t="s">
        <v>2</v>
      </c>
      <c r="P32" s="3" t="s">
        <v>3</v>
      </c>
      <c r="Q32" s="3" t="s">
        <v>4</v>
      </c>
    </row>
    <row r="33" spans="13:17">
      <c r="M33" s="3" t="s">
        <v>7</v>
      </c>
      <c r="N33" s="3" t="s">
        <v>11</v>
      </c>
      <c r="O33" s="3">
        <v>4</v>
      </c>
      <c r="P33" s="4">
        <v>1800</v>
      </c>
      <c r="Q33" s="4">
        <f>PRODUCT(O33,P33)</f>
        <v>7200</v>
      </c>
    </row>
    <row r="34" spans="13:17">
      <c r="M34" s="3" t="s">
        <v>7</v>
      </c>
      <c r="N34" s="3" t="s">
        <v>8</v>
      </c>
      <c r="O34" s="3">
        <v>5</v>
      </c>
      <c r="P34" s="4">
        <v>1200</v>
      </c>
      <c r="Q34" s="4">
        <f>PRODUCT(O34,P34)</f>
        <v>6000</v>
      </c>
    </row>
    <row r="35" spans="13:17">
      <c r="M35" s="3" t="s">
        <v>7</v>
      </c>
      <c r="N35" s="3" t="s">
        <v>19</v>
      </c>
      <c r="O35" s="3">
        <v>3</v>
      </c>
      <c r="P35" s="4">
        <v>2600</v>
      </c>
      <c r="Q35" s="4">
        <f>PRODUCT(O35,P35)</f>
        <v>7800</v>
      </c>
    </row>
  </sheetData>
  <autoFilter ref="A1:E15" xr:uid="{00000000-0001-0000-0000-000000000000}"/>
  <sortState xmlns:xlrd2="http://schemas.microsoft.com/office/spreadsheetml/2017/richdata2" ref="A2:E13">
    <sortCondition ref="A2:A13"/>
  </sortState>
  <conditionalFormatting sqref="C2:C15">
    <cfRule type="cellIs" dxfId="13" priority="14" operator="between">
      <formula>"Menor o igual que "</formula>
      <formula>3</formula>
    </cfRule>
  </conditionalFormatting>
  <conditionalFormatting sqref="C2:C15">
    <cfRule type="cellIs" dxfId="12" priority="13" operator="between">
      <formula>"Mayor o igual"</formula>
      <formula>7</formula>
    </cfRule>
  </conditionalFormatting>
  <conditionalFormatting sqref="R4:R5">
    <cfRule type="cellIs" dxfId="11" priority="12" operator="between">
      <formula>"Menor o igual que "</formula>
      <formula>3</formula>
    </cfRule>
  </conditionalFormatting>
  <conditionalFormatting sqref="R4:R5">
    <cfRule type="cellIs" dxfId="10" priority="11" operator="between">
      <formula>"Mayor o igual"</formula>
      <formula>7</formula>
    </cfRule>
  </conditionalFormatting>
  <conditionalFormatting sqref="J2:J3">
    <cfRule type="cellIs" dxfId="9" priority="10" operator="between">
      <formula>"Menor o igual que "</formula>
      <formula>3</formula>
    </cfRule>
  </conditionalFormatting>
  <conditionalFormatting sqref="J2:J3">
    <cfRule type="cellIs" dxfId="8" priority="9" operator="between">
      <formula>"Mayor o igual"</formula>
      <formula>7</formula>
    </cfRule>
  </conditionalFormatting>
  <conditionalFormatting sqref="O2:O3">
    <cfRule type="cellIs" dxfId="7" priority="8" operator="between">
      <formula>"Menor o igual que "</formula>
      <formula>3</formula>
    </cfRule>
  </conditionalFormatting>
  <conditionalFormatting sqref="O2:O3">
    <cfRule type="cellIs" dxfId="6" priority="7" operator="between">
      <formula>"Mayor o igual"</formula>
      <formula>7</formula>
    </cfRule>
  </conditionalFormatting>
  <conditionalFormatting sqref="O14:O21">
    <cfRule type="cellIs" dxfId="5" priority="6" operator="between">
      <formula>"Menor o igual que "</formula>
      <formula>3</formula>
    </cfRule>
  </conditionalFormatting>
  <conditionalFormatting sqref="O14:O21">
    <cfRule type="cellIs" dxfId="4" priority="5" operator="between">
      <formula>"Mayor o igual"</formula>
      <formula>7</formula>
    </cfRule>
  </conditionalFormatting>
  <conditionalFormatting sqref="O33:O35 O29:O31">
    <cfRule type="cellIs" dxfId="3" priority="4" operator="between">
      <formula>"Menor o igual que "</formula>
      <formula>3</formula>
    </cfRule>
  </conditionalFormatting>
  <conditionalFormatting sqref="O33:O35 O29:O31">
    <cfRule type="cellIs" dxfId="2" priority="3" operator="between">
      <formula>"Mayor o igual"</formula>
      <formula>7</formula>
    </cfRule>
  </conditionalFormatting>
  <conditionalFormatting sqref="U16">
    <cfRule type="cellIs" dxfId="1" priority="2" operator="between">
      <formula>"Menor o igual que "</formula>
      <formula>3</formula>
    </cfRule>
  </conditionalFormatting>
  <conditionalFormatting sqref="W2:W11">
    <cfRule type="cellIs" dxfId="0" priority="1" operator="between">
      <formula>"Mayor o igual"</formula>
      <formula>7</formula>
    </cfRule>
  </conditionalFormatting>
  <dataValidations count="3">
    <dataValidation type="textLength" allowBlank="1" showInputMessage="1" showErrorMessage="1" error="Longitud no es la permitida " prompt="Debe ser mayor o igual a 4 y menor o igual a 25" sqref="B2:B15 Q4:Q5 I2:I3 N2:N3 N14:N21 N29:N31 N33:N35 V2:V11" xr:uid="{5FBA32CE-9ACF-4FF2-8D65-C22EA1ED0793}">
      <formula1>4</formula1>
      <formula2>25</formula2>
    </dataValidation>
    <dataValidation type="textLength" allowBlank="1" showInputMessage="1" showErrorMessage="1" error="La longitud del texto no es la permitida " prompt="La longitud del campo debe ser mayor o igual a 4 careacteres y menor o igual a 25 caracteres." sqref="I13" xr:uid="{DFB46CD0-91DD-4A3B-97D3-14B1BC38BFF2}">
      <formula1>4</formula1>
      <formula2>25</formula2>
    </dataValidation>
    <dataValidation type="custom" operator="equal" allowBlank="1" showInputMessage="1" showErrorMessage="1" error="CODIGO DEL PRODUCTO INCORRECTO _x000a_" prompt="El Código del producto sólo puede ser T, C, R, V o H" sqref="A2:A15 P4:P5 H2:H3 M2:M3 M14:M21 M29:M31 M33:M35 U2:U11" xr:uid="{5C64BD7E-6B64-4AAA-B055-99166F7D7499}">
      <formula1>"T,C,R,V, 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2026-02-19T00:15:01Z</dcterms:created>
  <dcterms:modified xsi:type="dcterms:W3CDTF">2026-02-19T01:07:23Z</dcterms:modified>
  <cp:category/>
  <cp:contentStatus/>
</cp:coreProperties>
</file>