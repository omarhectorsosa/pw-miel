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artina\Computación II\Excel\TP 1\"/>
    </mc:Choice>
  </mc:AlternateContent>
  <bookViews>
    <workbookView xWindow="0" yWindow="0" windowWidth="28800" windowHeight="11580"/>
  </bookViews>
  <sheets>
    <sheet name="Inscripciones" sheetId="1" r:id="rId1"/>
    <sheet name="Materias" sheetId="2" r:id="rId2"/>
    <sheet name="Departamentos" sheetId="3" r:id="rId3"/>
  </sheets>
  <definedNames>
    <definedName name="_xlnm._FilterDatabase" localSheetId="0" hidden="1">Inscripciones!$A$4:$I$16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I6" i="1" s="1"/>
  <c r="C7" i="1"/>
  <c r="I7" i="1" s="1"/>
  <c r="C8" i="1"/>
  <c r="I8" i="1" s="1"/>
  <c r="C9" i="1"/>
  <c r="I9" i="1" s="1"/>
  <c r="C10" i="1"/>
  <c r="I10" i="1" s="1"/>
  <c r="C11" i="1"/>
  <c r="I11" i="1" s="1"/>
  <c r="C12" i="1"/>
  <c r="I12" i="1" s="1"/>
  <c r="C13" i="1"/>
  <c r="I13" i="1" s="1"/>
  <c r="C14" i="1"/>
  <c r="I14" i="1" s="1"/>
  <c r="C15" i="1"/>
  <c r="I15" i="1" s="1"/>
  <c r="C16" i="1"/>
  <c r="I16" i="1" s="1"/>
  <c r="C5" i="1"/>
  <c r="I5" i="1" s="1"/>
  <c r="B6" i="1"/>
  <c r="B7" i="1"/>
  <c r="B8" i="1"/>
  <c r="B9" i="1"/>
  <c r="B10" i="1"/>
  <c r="B11" i="1"/>
  <c r="B12" i="1"/>
  <c r="B13" i="1"/>
  <c r="B14" i="1"/>
  <c r="B15" i="1"/>
  <c r="B16" i="1"/>
  <c r="B5" i="1"/>
  <c r="H6" i="1"/>
  <c r="H7" i="1"/>
  <c r="H8" i="1"/>
  <c r="H9" i="1"/>
  <c r="H10" i="1"/>
  <c r="H11" i="1"/>
  <c r="H12" i="1"/>
  <c r="H13" i="1"/>
  <c r="H14" i="1"/>
  <c r="H15" i="1"/>
  <c r="H16" i="1"/>
  <c r="H5" i="1"/>
  <c r="G6" i="1"/>
  <c r="G7" i="1"/>
  <c r="G8" i="1"/>
  <c r="G9" i="1"/>
  <c r="G10" i="1"/>
  <c r="G11" i="1"/>
  <c r="G12" i="1"/>
  <c r="G13" i="1"/>
  <c r="G14" i="1"/>
  <c r="G15" i="1"/>
  <c r="G16" i="1"/>
  <c r="G5" i="1"/>
  <c r="F6" i="1"/>
  <c r="F7" i="1"/>
  <c r="F8" i="1"/>
  <c r="F9" i="1"/>
  <c r="F10" i="1"/>
  <c r="F11" i="1"/>
  <c r="F12" i="1"/>
  <c r="F13" i="1"/>
  <c r="F14" i="1"/>
  <c r="F15" i="1"/>
  <c r="F16" i="1"/>
  <c r="F5" i="1"/>
</calcChain>
</file>

<file path=xl/sharedStrings.xml><?xml version="1.0" encoding="utf-8"?>
<sst xmlns="http://schemas.openxmlformats.org/spreadsheetml/2006/main" count="48" uniqueCount="32">
  <si>
    <t>EXAMNES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</si>
  <si>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</si>
  <si>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</si>
  <si>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</si>
  <si>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</si>
  <si>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</si>
  <si>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</si>
  <si>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Asignada</t>
  </si>
  <si>
    <t>Publicacion de las notas</t>
  </si>
  <si>
    <t>Importe de Inscripcion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</si>
  <si>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</si>
  <si>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</si>
  <si>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</si>
  <si>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</si>
  <si>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</si>
  <si>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</si>
  <si>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</si>
  <si>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 xml:space="preserve">Analisis Matematico </t>
  </si>
  <si>
    <t>Computacion I</t>
  </si>
  <si>
    <t>C</t>
  </si>
  <si>
    <t>Estadistica</t>
  </si>
  <si>
    <t>Computacion II</t>
  </si>
  <si>
    <t>Ingles I</t>
  </si>
  <si>
    <t>Anatomia 1</t>
  </si>
  <si>
    <t>D</t>
  </si>
  <si>
    <t>Biologia 1</t>
  </si>
  <si>
    <t>Enfermeria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</si>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</sst>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"/>
  </numFmts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14" fontId="3" fillId="0" borderId="0" xfId="0" applyNumberFormat="1" applyFont="1" applyFill="1" applyBorder="1" applyAlignment="1"/>
    <xf numFmtId="14" fontId="0" fillId="0" borderId="0" xfId="0" applyNumberFormat="1"/>
    <xf numFmtId="164" fontId="1" fillId="0" borderId="4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I16"/>
  <sheetViews>
    <sheetView tabSelected="1" workbookViewId="0">
      <selection activeCell="B11" sqref="B11"/>
    </sheetView>
  </sheetViews>
  <sheetFormatPr baseColWidth="10" defaultColWidth="9.140625" defaultRowHeight="15"/>
  <cols>
    <col min="1" max="1" width="14.140625" customWidth="1"/>
    <col min="2" max="2" width="19.28515625" customWidth="1"/>
    <col min="3" max="3" width="14.85546875" customWidth="1"/>
    <col min="4" max="4" width="11.7109375" customWidth="1"/>
    <col min="5" max="5" width="17.7109375" customWidth="1"/>
    <col min="6" max="6" width="15.5703125" customWidth="1"/>
    <col min="7" max="7" width="11.28515625" customWidth="1"/>
    <col min="8" max="8" width="20.42578125" customWidth="1"/>
    <col min="9" max="9" width="21.85546875" customWidth="1"/>
  </cols>
  <sheetData>
    <row r="2" spans="1:9">
      <c r="A2" s="13" t="s">
        <v>0</v>
      </c>
      <c r="B2" s="13"/>
      <c r="C2" s="13"/>
      <c r="D2" s="13"/>
      <c r="E2" s="13"/>
      <c r="F2" s="13"/>
      <c r="G2" s="13"/>
      <c r="H2" s="13"/>
      <c r="I2" s="13"/>
    </row>
    <row r="3" spans="1:9">
      <c r="A3" s="7"/>
      <c r="B3" s="7"/>
      <c r="C3" s="7"/>
      <c r="D3" s="7"/>
      <c r="E3" s="7"/>
      <c r="F3" s="7"/>
      <c r="G3" s="7"/>
      <c r="H3" s="7"/>
      <c r="I3" s="7"/>
    </row>
    <row r="4" spans="1:9" ht="30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</row>
    <row r="5" spans="1:9">
      <c r="A5" s="7">
        <v>1010</v>
      </c>
      <c r="B5" t="str">
        <f>VLOOKUP(A5,Materias!$B$3:$D$15,2,0)</f>
        <v>Derecho Publico</v>
      </c>
      <c r="C5" t="str">
        <f>VLOOKUP(VLOOKUP(A5,Materias!$B$3:$D$15,3,0),Departamentos!$B$4:$D$7,2,0)</f>
        <v>Derecho</v>
      </c>
      <c r="D5" s="8">
        <v>42569</v>
      </c>
      <c r="E5" s="7">
        <v>202</v>
      </c>
      <c r="F5" t="str">
        <f t="shared" ref="F5:F16" si="0">IF(E5&lt;150,"BAJA",IF(E5&lt;200,"NORMAL","ALTA"))</f>
        <v>ALTA</v>
      </c>
      <c r="G5">
        <f t="shared" ref="G5:G16" si="1">IF(AND(E5&lt;180,D5&gt;DATE(2016,7,15)),805,812)</f>
        <v>812</v>
      </c>
      <c r="H5" s="10">
        <f t="shared" ref="H5:H16" si="2">D5+ROUNDUP(E5/10,0)</f>
        <v>42590</v>
      </c>
      <c r="I5">
        <f>VLOOKUP(C5,Departamentos!$C$3:$D$7,2,0)*E5</f>
        <v>44440</v>
      </c>
    </row>
    <row r="6" spans="1:9">
      <c r="A6" s="7">
        <v>1280</v>
      </c>
      <c r="B6" t="str">
        <f>VLOOKUP(A6,Materias!$B$3:$D$15,2,0)</f>
        <v>Derecho Penal</v>
      </c>
      <c r="C6" t="str">
        <f>VLOOKUP(VLOOKUP(A6,Materias!$B$3:$D$15,3,0),Departamentos!$B$4:$D$7,2,0)</f>
        <v>Derecho</v>
      </c>
      <c r="D6" s="9">
        <v>42572</v>
      </c>
      <c r="E6" s="7">
        <v>168</v>
      </c>
      <c r="F6" t="str">
        <f t="shared" si="0"/>
        <v>NORMAL</v>
      </c>
      <c r="G6">
        <f t="shared" si="1"/>
        <v>805</v>
      </c>
      <c r="H6" s="10">
        <f t="shared" si="2"/>
        <v>42589</v>
      </c>
      <c r="I6">
        <f>VLOOKUP(C6,Departamentos!$C$3:$D$7,2,0)*E6</f>
        <v>36960</v>
      </c>
    </row>
    <row r="7" spans="1:9">
      <c r="A7" s="7">
        <v>1420</v>
      </c>
      <c r="B7" t="str">
        <f>VLOOKUP(A7,Materias!$B$3:$D$15,2,0)</f>
        <v>Derecho Civil</v>
      </c>
      <c r="C7" t="str">
        <f>VLOOKUP(VLOOKUP(A7,Materias!$B$3:$D$15,3,0),Departamentos!$B$4:$D$7,2,0)</f>
        <v>Derecho</v>
      </c>
      <c r="D7" s="9">
        <v>42564</v>
      </c>
      <c r="E7" s="7">
        <v>136</v>
      </c>
      <c r="F7" t="str">
        <f t="shared" si="0"/>
        <v>BAJA</v>
      </c>
      <c r="G7">
        <f t="shared" si="1"/>
        <v>812</v>
      </c>
      <c r="H7" s="10">
        <f t="shared" si="2"/>
        <v>42578</v>
      </c>
      <c r="I7">
        <f>VLOOKUP(C7,Departamentos!$C$3:$D$7,2,0)*E7</f>
        <v>29920</v>
      </c>
    </row>
    <row r="8" spans="1:9">
      <c r="A8" s="7">
        <v>1300</v>
      </c>
      <c r="B8" t="str">
        <f>VLOOKUP(A8,Materias!$B$3:$D$15,2,0)</f>
        <v>Ingles I</v>
      </c>
      <c r="C8" t="str">
        <f>VLOOKUP(VLOOKUP(A8,Materias!$B$3:$D$15,3,0),Departamentos!$B$4:$D$7,2,0)</f>
        <v>Económicas</v>
      </c>
      <c r="D8" s="9">
        <v>42578</v>
      </c>
      <c r="E8" s="7">
        <v>215</v>
      </c>
      <c r="F8" t="str">
        <f t="shared" si="0"/>
        <v>ALTA</v>
      </c>
      <c r="G8">
        <f t="shared" si="1"/>
        <v>812</v>
      </c>
      <c r="H8" s="10">
        <f t="shared" si="2"/>
        <v>42600</v>
      </c>
      <c r="I8">
        <f>VLOOKUP(C8,Departamentos!$C$3:$D$7,2,0)*E8</f>
        <v>53750</v>
      </c>
    </row>
    <row r="9" spans="1:9">
      <c r="A9" s="7">
        <v>1250</v>
      </c>
      <c r="B9" t="str">
        <f>VLOOKUP(A9,Materias!$B$3:$D$15,2,0)</f>
        <v>Computacion II</v>
      </c>
      <c r="C9" t="str">
        <f>VLOOKUP(VLOOKUP(A9,Materias!$B$3:$D$15,3,0),Departamentos!$B$4:$D$7,2,0)</f>
        <v>Económicas</v>
      </c>
      <c r="D9" s="9">
        <v>42558</v>
      </c>
      <c r="E9" s="7">
        <v>196</v>
      </c>
      <c r="F9" t="str">
        <f t="shared" si="0"/>
        <v>NORMAL</v>
      </c>
      <c r="G9">
        <f t="shared" si="1"/>
        <v>812</v>
      </c>
      <c r="H9" s="10">
        <f t="shared" si="2"/>
        <v>42578</v>
      </c>
      <c r="I9">
        <f>VLOOKUP(C9,Departamentos!$C$3:$D$7,2,0)*E9</f>
        <v>49000</v>
      </c>
    </row>
    <row r="10" spans="1:9">
      <c r="A10" s="7">
        <v>1150</v>
      </c>
      <c r="B10" t="str">
        <f>VLOOKUP(A10,Materias!$B$3:$D$15,2,0)</f>
        <v>Computacion I</v>
      </c>
      <c r="C10" t="str">
        <f>VLOOKUP(VLOOKUP(A10,Materias!$B$3:$D$15,3,0),Departamentos!$B$4:$D$7,2,0)</f>
        <v>Económicas</v>
      </c>
      <c r="D10" s="9">
        <v>42562</v>
      </c>
      <c r="E10" s="7">
        <v>175</v>
      </c>
      <c r="F10" t="str">
        <f t="shared" si="0"/>
        <v>NORMAL</v>
      </c>
      <c r="G10">
        <f t="shared" si="1"/>
        <v>812</v>
      </c>
      <c r="H10" s="10">
        <f t="shared" si="2"/>
        <v>42580</v>
      </c>
      <c r="I10">
        <f>VLOOKUP(C10,Departamentos!$C$3:$D$7,2,0)*E10</f>
        <v>43750</v>
      </c>
    </row>
    <row r="11" spans="1:9">
      <c r="A11" s="7">
        <v>1200</v>
      </c>
      <c r="B11" t="str">
        <f>VLOOKUP(A11,Materias!$B$3:$D$15,2,0)</f>
        <v>Estadistica</v>
      </c>
      <c r="C11" t="str">
        <f>VLOOKUP(VLOOKUP(A11,Materias!$B$3:$D$15,3,0),Departamentos!$B$4:$D$7,2,0)</f>
        <v>Económicas</v>
      </c>
      <c r="D11" s="8">
        <v>42571</v>
      </c>
      <c r="E11" s="7">
        <v>158</v>
      </c>
      <c r="F11" t="str">
        <f t="shared" si="0"/>
        <v>NORMAL</v>
      </c>
      <c r="G11">
        <f t="shared" si="1"/>
        <v>805</v>
      </c>
      <c r="H11" s="10">
        <f t="shared" si="2"/>
        <v>42587</v>
      </c>
      <c r="I11">
        <f>VLOOKUP(C11,Departamentos!$C$3:$D$7,2,0)*E11</f>
        <v>39500</v>
      </c>
    </row>
    <row r="12" spans="1:9">
      <c r="A12" s="7">
        <v>1120</v>
      </c>
      <c r="B12" t="str">
        <f>VLOOKUP(A12,Materias!$B$3:$D$15,2,0)</f>
        <v xml:space="preserve">Analisis Matematico </v>
      </c>
      <c r="C12" t="str">
        <f>VLOOKUP(VLOOKUP(A12,Materias!$B$3:$D$15,3,0),Departamentos!$B$4:$D$7,2,0)</f>
        <v>Ingeniería</v>
      </c>
      <c r="D12" s="8">
        <v>42566</v>
      </c>
      <c r="E12" s="7">
        <v>232</v>
      </c>
      <c r="F12" t="str">
        <f t="shared" si="0"/>
        <v>ALTA</v>
      </c>
      <c r="G12">
        <f t="shared" si="1"/>
        <v>812</v>
      </c>
      <c r="H12" s="10">
        <f t="shared" si="2"/>
        <v>42590</v>
      </c>
      <c r="I12">
        <f>VLOOKUP(C12,Departamentos!$C$3:$D$7,2,0)*E12</f>
        <v>41760</v>
      </c>
    </row>
    <row r="13" spans="1:9">
      <c r="A13" s="7">
        <v>1080</v>
      </c>
      <c r="B13" t="str">
        <f>VLOOKUP(A13,Materias!$B$3:$D$15,2,0)</f>
        <v>Sistemas Operativos I</v>
      </c>
      <c r="C13" t="str">
        <f>VLOOKUP(VLOOKUP(A13,Materias!$B$3:$D$15,3,0),Departamentos!$B$4:$D$7,2,0)</f>
        <v>Ingeniería</v>
      </c>
      <c r="D13" s="9">
        <v>42574</v>
      </c>
      <c r="E13" s="7">
        <v>141</v>
      </c>
      <c r="F13" t="str">
        <f t="shared" si="0"/>
        <v>BAJA</v>
      </c>
      <c r="G13">
        <f t="shared" si="1"/>
        <v>805</v>
      </c>
      <c r="H13" s="10">
        <f t="shared" si="2"/>
        <v>42589</v>
      </c>
      <c r="I13">
        <f>VLOOKUP(C13,Departamentos!$C$3:$D$7,2,0)*E13</f>
        <v>25380</v>
      </c>
    </row>
    <row r="14" spans="1:9">
      <c r="A14" s="7">
        <v>1860</v>
      </c>
      <c r="B14" t="str">
        <f>VLOOKUP(A14,Materias!$B$3:$D$15,2,0)</f>
        <v>Enfermeria</v>
      </c>
      <c r="C14" t="str">
        <f>VLOOKUP(VLOOKUP(A14,Materias!$B$3:$D$15,3,0),Departamentos!$B$4:$D$7,2,0)</f>
        <v>Medicina</v>
      </c>
      <c r="D14" s="9">
        <v>42575</v>
      </c>
      <c r="E14" s="7">
        <v>171</v>
      </c>
      <c r="F14" t="str">
        <f t="shared" si="0"/>
        <v>NORMAL</v>
      </c>
      <c r="G14">
        <f t="shared" si="1"/>
        <v>805</v>
      </c>
      <c r="H14" s="10">
        <f t="shared" si="2"/>
        <v>42593</v>
      </c>
      <c r="I14">
        <f>VLOOKUP(C14,Departamentos!$C$3:$D$7,2,0)*E14</f>
        <v>51300</v>
      </c>
    </row>
    <row r="15" spans="1:9">
      <c r="A15" s="7">
        <v>1850</v>
      </c>
      <c r="B15" t="str">
        <f>VLOOKUP(A15,Materias!$B$3:$D$15,2,0)</f>
        <v>Biologia 1</v>
      </c>
      <c r="C15" t="str">
        <f>VLOOKUP(VLOOKUP(A15,Materias!$B$3:$D$15,3,0),Departamentos!$B$4:$D$7,2,0)</f>
        <v>Medicina</v>
      </c>
      <c r="D15" s="8">
        <v>42574</v>
      </c>
      <c r="E15" s="7">
        <v>170</v>
      </c>
      <c r="F15" t="str">
        <f t="shared" si="0"/>
        <v>NORMAL</v>
      </c>
      <c r="G15">
        <f t="shared" si="1"/>
        <v>805</v>
      </c>
      <c r="H15" s="10">
        <f t="shared" si="2"/>
        <v>42591</v>
      </c>
      <c r="I15">
        <f>VLOOKUP(C15,Departamentos!$C$3:$D$7,2,0)*E15</f>
        <v>51000</v>
      </c>
    </row>
    <row r="16" spans="1:9">
      <c r="A16" s="7">
        <v>1825</v>
      </c>
      <c r="B16" t="str">
        <f>VLOOKUP(A16,Materias!$B$3:$D$15,2,0)</f>
        <v>Anatomia 1</v>
      </c>
      <c r="C16" t="str">
        <f>VLOOKUP(VLOOKUP(A16,Materias!$B$3:$D$15,3,0),Departamentos!$B$4:$D$7,2,0)</f>
        <v>Medicina</v>
      </c>
      <c r="D16" s="9">
        <v>42573</v>
      </c>
      <c r="E16" s="7">
        <v>169</v>
      </c>
      <c r="F16" t="str">
        <f t="shared" si="0"/>
        <v>NORMAL</v>
      </c>
      <c r="G16">
        <f t="shared" si="1"/>
        <v>805</v>
      </c>
      <c r="H16" s="10">
        <f t="shared" si="2"/>
        <v>42590</v>
      </c>
      <c r="I16">
        <f>VLOOKUP(C16,Departamentos!$C$3:$D$7,2,0)*E16</f>
        <v>50700</v>
      </c>
    </row>
  </sheetData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2:D14"/>
  <sheetViews>
    <sheetView workbookViewId="0">
      <selection activeCell="C26" sqref="C26"/>
    </sheetView>
  </sheetViews>
  <sheetFormatPr baseColWidth="10" defaultColWidth="9.140625" defaultRowHeight="15"/>
  <cols>
    <col min="3" max="3" width="19.42578125" bestFit="1" customWidth="1"/>
    <col min="4" max="4" width="13.140625" customWidth="1"/>
  </cols>
  <sheetData>
    <row r="2" spans="2:4" ht="42.75">
      <c r="B2" s="3" t="s">
        <v>1</v>
      </c>
      <c r="C2" s="4" t="s">
        <v>2</v>
      </c>
      <c r="D2" s="4" t="s">
        <v>10</v>
      </c>
    </row>
    <row r="3" spans="2:4">
      <c r="B3" s="1">
        <v>1010</v>
      </c>
      <c r="C3" s="2" t="s">
        <v>11</v>
      </c>
      <c r="D3" s="2" t="s">
        <v>12</v>
      </c>
    </row>
    <row r="4" spans="2:4">
      <c r="B4" s="1">
        <v>1280</v>
      </c>
      <c r="C4" s="2" t="s">
        <v>13</v>
      </c>
      <c r="D4" s="2" t="s">
        <v>12</v>
      </c>
    </row>
    <row r="5" spans="2:4">
      <c r="B5" s="1">
        <v>1420</v>
      </c>
      <c r="C5" s="2" t="s">
        <v>14</v>
      </c>
      <c r="D5" s="2" t="s">
        <v>12</v>
      </c>
    </row>
    <row r="6" spans="2:4">
      <c r="B6" s="1">
        <v>1080</v>
      </c>
      <c r="C6" s="2" t="s">
        <v>15</v>
      </c>
      <c r="D6" s="2" t="s">
        <v>16</v>
      </c>
    </row>
    <row r="7" spans="2:4">
      <c r="B7" s="1">
        <v>1120</v>
      </c>
      <c r="C7" s="2" t="s">
        <v>17</v>
      </c>
      <c r="D7" s="2" t="s">
        <v>16</v>
      </c>
    </row>
    <row r="8" spans="2:4">
      <c r="B8" s="1">
        <v>1150</v>
      </c>
      <c r="C8" s="2" t="s">
        <v>18</v>
      </c>
      <c r="D8" s="2" t="s">
        <v>19</v>
      </c>
    </row>
    <row r="9" spans="2:4">
      <c r="B9" s="1">
        <v>1200</v>
      </c>
      <c r="C9" s="2" t="s">
        <v>20</v>
      </c>
      <c r="D9" s="2" t="s">
        <v>19</v>
      </c>
    </row>
    <row r="10" spans="2:4">
      <c r="B10" s="1">
        <v>1250</v>
      </c>
      <c r="C10" s="2" t="s">
        <v>21</v>
      </c>
      <c r="D10" s="2" t="s">
        <v>19</v>
      </c>
    </row>
    <row r="11" spans="2:4">
      <c r="B11" s="1">
        <v>1300</v>
      </c>
      <c r="C11" s="2" t="s">
        <v>22</v>
      </c>
      <c r="D11" s="2" t="s">
        <v>19</v>
      </c>
    </row>
    <row r="12" spans="2:4">
      <c r="B12" s="1">
        <v>1825</v>
      </c>
      <c r="C12" s="2" t="s">
        <v>23</v>
      </c>
      <c r="D12" s="2" t="s">
        <v>24</v>
      </c>
    </row>
    <row r="13" spans="2:4">
      <c r="B13" s="1">
        <v>1850</v>
      </c>
      <c r="C13" s="2" t="s">
        <v>25</v>
      </c>
      <c r="D13" s="2" t="s">
        <v>24</v>
      </c>
    </row>
    <row r="14" spans="2:4">
      <c r="B14" s="1">
        <v>1860</v>
      </c>
      <c r="C14" s="2" t="s">
        <v>26</v>
      </c>
      <c r="D14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3:D7"/>
  <sheetViews>
    <sheetView workbookViewId="0">
      <selection activeCell="M21" sqref="M21"/>
    </sheetView>
  </sheetViews>
  <sheetFormatPr baseColWidth="10" defaultColWidth="9.140625" defaultRowHeight="15"/>
  <cols>
    <col min="2" max="2" width="15.28515625" customWidth="1"/>
    <col min="3" max="3" width="14.85546875" customWidth="1"/>
    <col min="4" max="4" width="9.85546875" customWidth="1"/>
  </cols>
  <sheetData>
    <row r="3" spans="2:4" ht="28.5">
      <c r="B3" s="3" t="s">
        <v>10</v>
      </c>
      <c r="C3" s="4" t="s">
        <v>3</v>
      </c>
      <c r="D3" s="4" t="s">
        <v>27</v>
      </c>
    </row>
    <row r="4" spans="2:4">
      <c r="B4" s="5" t="s">
        <v>12</v>
      </c>
      <c r="C4" s="6" t="s">
        <v>28</v>
      </c>
      <c r="D4" s="11">
        <v>220</v>
      </c>
    </row>
    <row r="5" spans="2:4">
      <c r="B5" s="5" t="s">
        <v>16</v>
      </c>
      <c r="C5" s="6" t="s">
        <v>29</v>
      </c>
      <c r="D5" s="11">
        <v>180</v>
      </c>
    </row>
    <row r="6" spans="2:4" ht="15.75" customHeight="1">
      <c r="B6" s="5" t="s">
        <v>19</v>
      </c>
      <c r="C6" s="6" t="s">
        <v>30</v>
      </c>
      <c r="D6" s="11">
        <v>250</v>
      </c>
    </row>
    <row r="7" spans="2:4">
      <c r="B7" s="5" t="s">
        <v>24</v>
      </c>
      <c r="C7" s="6" t="s">
        <v>31</v>
      </c>
      <c r="D7" s="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Inscripciones</vt:lpstr>
      <vt:lpstr>Materias</vt:lpstr>
      <vt:lpstr>Departamentos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Garcia</dc:creator>
  <cp:keywords/>
  <dc:description/>
  <cp:lastModifiedBy>User</cp:lastModifiedBy>
  <cp:revision/>
  <dcterms:created xsi:type="dcterms:W3CDTF">2026-02-06T22:29:07Z</dcterms:created>
  <dcterms:modified xsi:type="dcterms:W3CDTF">2026-02-07T18:47:59Z</dcterms:modified>
  <cp:category/>
  <cp:contentStatus/>
</cp:coreProperties>
</file>