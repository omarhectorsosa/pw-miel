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4f2d696528a8ba/Documents/Facultad 2025/Compu 2/Unidad 4/Tp 3/"/>
    </mc:Choice>
  </mc:AlternateContent>
  <xr:revisionPtr revIDLastSave="8" documentId="8_{18241B95-37A9-4906-84DA-B07A96E20576}" xr6:coauthVersionLast="47" xr6:coauthVersionMax="47" xr10:uidLastSave="{66771A7A-B4E8-4315-BE8C-5B5A3A4C4B9C}"/>
  <bookViews>
    <workbookView xWindow="-108" yWindow="-108" windowWidth="23256" windowHeight="12456" activeTab="2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Hoja1!$A$1:$E$1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9" i="1"/>
  <c r="A18" i="1"/>
  <c r="A17" i="1"/>
  <c r="B20" i="3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C22" i="1"/>
  <c r="C19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<sst xmlns="http://schemas.openxmlformats.org/spreadsheetml/2006/main" count="136" uniqueCount="39">
  <si>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</si>
  <si>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</si>
  <si>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</si>
  <si>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</si>
  <si>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</si>
  <si>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</si>
  <si>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</si>
  <si>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</si>
  <si>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</si>
  <si>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</si>
  <si>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</si>
  <si>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</si>
  <si>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</si>
  <si>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</si>
  <si>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de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</si>
  <si>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</si>
  <si>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</si>
  <si>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</si>
  <si>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</si>
  <si>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</si>
  <si>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</si>
  <si>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</si>
  <si>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</si>
  <si>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</si>
  <si>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BDMAX</t>
  </si>
  <si>
    <t>PUNTO 3 - I</t>
  </si>
  <si>
    <t xml:space="preserve"> </t>
  </si>
  <si>
    <t>BDSUM</t>
  </si>
  <si>
    <t>BDEXTRAER</t>
  </si>
  <si>
    <t>BDCONTAR</t>
  </si>
  <si>
    <t>PUNTO 3 - II</t>
  </si>
  <si>
    <t>&gt;=5</t>
  </si>
  <si>
    <t>PUNTO 3 - III</t>
  </si>
  <si>
    <t>PUNTO 3 - IV</t>
  </si>
  <si>
    <t>&gt;4</t>
  </si>
  <si>
    <t>&lt;9</t>
  </si>
  <si>
    <t>EJ - 5-1</t>
  </si>
  <si>
    <t>EJ - 5-2</t>
  </si>
  <si>
    <t>EJ - 5-3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</si>
</sst>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H8" sqref="H8"/>
    </sheetView>
  </sheetViews>
  <sheetFormatPr baseColWidth="10" defaultColWidth="8.88671875" defaultRowHeight="14.4" x14ac:dyDescent="0.3"/>
  <cols>
    <col min="1" max="1" width="29.44140625" bestFit="1" customWidth="1"/>
    <col min="2" max="2" width="26.33203125" bestFit="1" customWidth="1"/>
    <col min="3" max="3" width="12.109375" bestFit="1" customWidth="1"/>
    <col min="4" max="4" width="12.6640625" bestFit="1" customWidth="1"/>
    <col min="5" max="5" width="10" bestFit="1" customWidth="1"/>
    <col min="6" max="6" width="12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12</v>
      </c>
      <c r="D2" s="3">
        <v>6500</v>
      </c>
      <c r="E2" s="2">
        <f>+C2*D2</f>
        <v>78000</v>
      </c>
    </row>
    <row r="3" spans="1:5" x14ac:dyDescent="0.3">
      <c r="A3" s="2" t="s">
        <v>7</v>
      </c>
      <c r="B3" s="2" t="s">
        <v>8</v>
      </c>
      <c r="C3" s="2">
        <v>10</v>
      </c>
      <c r="D3" s="3">
        <v>4800</v>
      </c>
      <c r="E3" s="2">
        <f t="shared" ref="E3:E15" si="0">+C3*D3</f>
        <v>48000</v>
      </c>
    </row>
    <row r="4" spans="1:5" x14ac:dyDescent="0.3">
      <c r="A4" s="2" t="s">
        <v>5</v>
      </c>
      <c r="B4" s="2" t="s">
        <v>9</v>
      </c>
      <c r="C4" s="2">
        <v>8</v>
      </c>
      <c r="D4" s="3">
        <v>7800</v>
      </c>
      <c r="E4" s="2">
        <f t="shared" si="0"/>
        <v>62400</v>
      </c>
    </row>
    <row r="5" spans="1:5" x14ac:dyDescent="0.3">
      <c r="A5" s="2" t="s">
        <v>10</v>
      </c>
      <c r="B5" s="2" t="s">
        <v>11</v>
      </c>
      <c r="C5" s="2">
        <v>7</v>
      </c>
      <c r="D5" s="3">
        <v>8500</v>
      </c>
      <c r="E5" s="2">
        <f t="shared" si="0"/>
        <v>59500</v>
      </c>
    </row>
    <row r="6" spans="1:5" x14ac:dyDescent="0.3">
      <c r="A6" s="2" t="s">
        <v>10</v>
      </c>
      <c r="B6" s="2" t="s">
        <v>12</v>
      </c>
      <c r="C6" s="2">
        <v>4</v>
      </c>
      <c r="D6" s="3">
        <v>5000</v>
      </c>
      <c r="E6" s="2">
        <f t="shared" si="0"/>
        <v>20000</v>
      </c>
    </row>
    <row r="7" spans="1:5" x14ac:dyDescent="0.3">
      <c r="A7" s="2" t="s">
        <v>13</v>
      </c>
      <c r="B7" s="2" t="s">
        <v>14</v>
      </c>
      <c r="C7" s="2">
        <v>4</v>
      </c>
      <c r="D7" s="3">
        <v>1800</v>
      </c>
      <c r="E7" s="2">
        <f t="shared" si="0"/>
        <v>7200</v>
      </c>
    </row>
    <row r="8" spans="1:5" x14ac:dyDescent="0.3">
      <c r="A8" s="2" t="s">
        <v>13</v>
      </c>
      <c r="B8" s="2" t="s">
        <v>15</v>
      </c>
      <c r="C8" s="2">
        <v>3</v>
      </c>
      <c r="D8" s="3">
        <v>2600</v>
      </c>
      <c r="E8" s="2">
        <f t="shared" si="0"/>
        <v>7800</v>
      </c>
    </row>
    <row r="9" spans="1:5" x14ac:dyDescent="0.3">
      <c r="A9" s="2" t="s">
        <v>13</v>
      </c>
      <c r="B9" s="2" t="s">
        <v>16</v>
      </c>
      <c r="C9" s="2">
        <v>5</v>
      </c>
      <c r="D9" s="3">
        <v>1200</v>
      </c>
      <c r="E9" s="2">
        <f t="shared" si="0"/>
        <v>6000</v>
      </c>
    </row>
    <row r="10" spans="1:5" x14ac:dyDescent="0.3">
      <c r="A10" s="2" t="s">
        <v>7</v>
      </c>
      <c r="B10" s="2" t="s">
        <v>17</v>
      </c>
      <c r="C10" s="2">
        <v>2</v>
      </c>
      <c r="D10" s="3">
        <v>9400</v>
      </c>
      <c r="E10" s="2">
        <f t="shared" si="0"/>
        <v>18800</v>
      </c>
    </row>
    <row r="11" spans="1:5" x14ac:dyDescent="0.3">
      <c r="A11" s="2" t="s">
        <v>5</v>
      </c>
      <c r="B11" s="2" t="s">
        <v>18</v>
      </c>
      <c r="C11" s="2">
        <v>8</v>
      </c>
      <c r="D11" s="3">
        <v>12000</v>
      </c>
      <c r="E11" s="2">
        <f t="shared" si="0"/>
        <v>96000</v>
      </c>
    </row>
    <row r="12" spans="1:5" x14ac:dyDescent="0.3">
      <c r="A12" s="2" t="s">
        <v>19</v>
      </c>
      <c r="B12" s="2" t="s">
        <v>20</v>
      </c>
      <c r="C12" s="2">
        <v>6</v>
      </c>
      <c r="D12" s="3">
        <v>2500</v>
      </c>
      <c r="E12" s="2">
        <f t="shared" si="0"/>
        <v>15000</v>
      </c>
    </row>
    <row r="13" spans="1:5" x14ac:dyDescent="0.3">
      <c r="A13" s="2" t="s">
        <v>19</v>
      </c>
      <c r="B13" s="2" t="s">
        <v>21</v>
      </c>
      <c r="C13" s="2">
        <v>6</v>
      </c>
      <c r="D13" s="3">
        <v>6500</v>
      </c>
      <c r="E13" s="2">
        <f t="shared" si="0"/>
        <v>39000</v>
      </c>
    </row>
    <row r="14" spans="1:5" x14ac:dyDescent="0.3">
      <c r="A14" s="2" t="s">
        <v>7</v>
      </c>
      <c r="B14" s="2" t="s">
        <v>22</v>
      </c>
      <c r="C14" s="2">
        <v>2</v>
      </c>
      <c r="D14" s="3">
        <v>2400</v>
      </c>
      <c r="E14" s="2">
        <f t="shared" si="0"/>
        <v>4800</v>
      </c>
    </row>
    <row r="15" spans="1:5" x14ac:dyDescent="0.3">
      <c r="A15" s="2" t="s">
        <v>5</v>
      </c>
      <c r="B15" s="2" t="s">
        <v>23</v>
      </c>
      <c r="C15" s="2">
        <v>1</v>
      </c>
      <c r="D15" s="3">
        <v>1800</v>
      </c>
      <c r="E15" s="2">
        <f t="shared" si="0"/>
        <v>1800</v>
      </c>
    </row>
    <row r="17" spans="1:8" x14ac:dyDescent="0.3">
      <c r="A17">
        <f>+DMAX(A1:E15,D1,C18:G19)</f>
        <v>8500</v>
      </c>
      <c r="B17" t="s">
        <v>24</v>
      </c>
      <c r="C17" t="s">
        <v>25</v>
      </c>
      <c r="D17" t="s">
        <v>26</v>
      </c>
    </row>
    <row r="18" spans="1:8" x14ac:dyDescent="0.3">
      <c r="A18">
        <f>+DSUM(A1:E15,E1,C21:G22)</f>
        <v>6000</v>
      </c>
      <c r="B18" t="s">
        <v>27</v>
      </c>
      <c r="C18" s="1" t="s">
        <v>0</v>
      </c>
      <c r="D18" s="1" t="s">
        <v>1</v>
      </c>
      <c r="E18" s="1" t="s">
        <v>2</v>
      </c>
      <c r="F18" s="1" t="s">
        <v>3</v>
      </c>
      <c r="G18" s="1" t="s">
        <v>4</v>
      </c>
    </row>
    <row r="19" spans="1:8" x14ac:dyDescent="0.3">
      <c r="A19">
        <f>+DGET(A1:E15,D1,C24:G25)</f>
        <v>1800</v>
      </c>
      <c r="B19" t="s">
        <v>28</v>
      </c>
      <c r="C19" t="str">
        <f>+"=H"</f>
        <v>=H</v>
      </c>
    </row>
    <row r="20" spans="1:8" x14ac:dyDescent="0.3">
      <c r="A20">
        <f>+DCOUNT(A1:E15,C1,C27:H28)</f>
        <v>6</v>
      </c>
      <c r="B20" t="s">
        <v>29</v>
      </c>
      <c r="C20" t="s">
        <v>30</v>
      </c>
    </row>
    <row r="21" spans="1:8" x14ac:dyDescent="0.3">
      <c r="C21" s="1" t="s">
        <v>0</v>
      </c>
      <c r="D21" s="1" t="s">
        <v>1</v>
      </c>
      <c r="E21" s="1" t="s">
        <v>2</v>
      </c>
      <c r="F21" s="1" t="s">
        <v>3</v>
      </c>
      <c r="G21" s="1" t="s">
        <v>4</v>
      </c>
    </row>
    <row r="22" spans="1:8" x14ac:dyDescent="0.3">
      <c r="C22" t="str">
        <f>+"=R"</f>
        <v>=R</v>
      </c>
      <c r="E22" t="s">
        <v>31</v>
      </c>
    </row>
    <row r="23" spans="1:8" x14ac:dyDescent="0.3">
      <c r="C23" t="s">
        <v>32</v>
      </c>
    </row>
    <row r="24" spans="1:8" x14ac:dyDescent="0.3">
      <c r="C24" s="1" t="s">
        <v>0</v>
      </c>
      <c r="D24" s="1" t="s">
        <v>1</v>
      </c>
      <c r="E24" s="1" t="s">
        <v>2</v>
      </c>
      <c r="F24" s="1" t="s">
        <v>3</v>
      </c>
      <c r="G24" s="1" t="s">
        <v>4</v>
      </c>
    </row>
    <row r="25" spans="1:8" x14ac:dyDescent="0.3">
      <c r="D25" s="2" t="s">
        <v>14</v>
      </c>
    </row>
    <row r="26" spans="1:8" x14ac:dyDescent="0.3">
      <c r="C26" t="s">
        <v>33</v>
      </c>
    </row>
    <row r="27" spans="1:8" x14ac:dyDescent="0.3">
      <c r="C27" s="1" t="s">
        <v>0</v>
      </c>
      <c r="D27" s="1" t="s">
        <v>1</v>
      </c>
      <c r="E27" s="1" t="s">
        <v>2</v>
      </c>
      <c r="F27" s="1" t="s">
        <v>2</v>
      </c>
      <c r="G27" s="1" t="s">
        <v>3</v>
      </c>
      <c r="H27" s="1" t="s">
        <v>4</v>
      </c>
    </row>
    <row r="28" spans="1:8" x14ac:dyDescent="0.3">
      <c r="D28" s="2"/>
      <c r="E28" t="s">
        <v>34</v>
      </c>
      <c r="F28" t="s">
        <v>35</v>
      </c>
    </row>
  </sheetData>
  <autoFilter ref="A1:E1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5595-C70F-44A5-B205-4FE375DB5CEE}">
  <dimension ref="A1:E15"/>
  <sheetViews>
    <sheetView workbookViewId="0">
      <selection sqref="A1:E15"/>
    </sheetView>
  </sheetViews>
  <sheetFormatPr baseColWidth="10" defaultColWidth="8.88671875" defaultRowHeight="14.4" x14ac:dyDescent="0.3"/>
  <cols>
    <col min="1" max="1" width="10.6640625" customWidth="1"/>
    <col min="2" max="2" width="26.33203125" bestFit="1" customWidth="1"/>
    <col min="3" max="3" width="10.33203125" bestFit="1" customWidth="1"/>
    <col min="4" max="4" width="15.33203125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 t="s">
        <v>7</v>
      </c>
      <c r="B2" s="2" t="s">
        <v>22</v>
      </c>
      <c r="C2" s="2">
        <v>2</v>
      </c>
      <c r="D2" s="3">
        <v>2400</v>
      </c>
      <c r="E2" s="2">
        <f t="shared" ref="E2:E15" si="0">+C2*D2</f>
        <v>4800</v>
      </c>
    </row>
    <row r="3" spans="1:5" x14ac:dyDescent="0.3">
      <c r="A3" s="2" t="s">
        <v>7</v>
      </c>
      <c r="B3" s="2" t="s">
        <v>8</v>
      </c>
      <c r="C3" s="2">
        <v>10</v>
      </c>
      <c r="D3" s="3">
        <v>4800</v>
      </c>
      <c r="E3" s="2">
        <f t="shared" si="0"/>
        <v>48000</v>
      </c>
    </row>
    <row r="4" spans="1:5" x14ac:dyDescent="0.3">
      <c r="A4" s="2" t="s">
        <v>7</v>
      </c>
      <c r="B4" s="2" t="s">
        <v>17</v>
      </c>
      <c r="C4" s="2">
        <v>2</v>
      </c>
      <c r="D4" s="3">
        <v>9400</v>
      </c>
      <c r="E4" s="2">
        <f t="shared" si="0"/>
        <v>18800</v>
      </c>
    </row>
    <row r="5" spans="1:5" x14ac:dyDescent="0.3">
      <c r="A5" s="2" t="s">
        <v>10</v>
      </c>
      <c r="B5" s="2" t="s">
        <v>12</v>
      </c>
      <c r="C5" s="2">
        <v>4</v>
      </c>
      <c r="D5" s="3">
        <v>5000</v>
      </c>
      <c r="E5" s="2">
        <f t="shared" si="0"/>
        <v>20000</v>
      </c>
    </row>
    <row r="6" spans="1:5" x14ac:dyDescent="0.3">
      <c r="A6" s="2" t="s">
        <v>10</v>
      </c>
      <c r="B6" s="2" t="s">
        <v>11</v>
      </c>
      <c r="C6" s="2">
        <v>7</v>
      </c>
      <c r="D6" s="3">
        <v>8500</v>
      </c>
      <c r="E6" s="2">
        <f t="shared" si="0"/>
        <v>59500</v>
      </c>
    </row>
    <row r="7" spans="1:5" x14ac:dyDescent="0.3">
      <c r="A7" s="2" t="s">
        <v>13</v>
      </c>
      <c r="B7" s="2" t="s">
        <v>16</v>
      </c>
      <c r="C7" s="2">
        <v>5</v>
      </c>
      <c r="D7" s="3">
        <v>1200</v>
      </c>
      <c r="E7" s="2">
        <f t="shared" si="0"/>
        <v>6000</v>
      </c>
    </row>
    <row r="8" spans="1:5" x14ac:dyDescent="0.3">
      <c r="A8" s="2" t="s">
        <v>13</v>
      </c>
      <c r="B8" s="2" t="s">
        <v>15</v>
      </c>
      <c r="C8" s="2">
        <v>3</v>
      </c>
      <c r="D8" s="3">
        <v>2600</v>
      </c>
      <c r="E8" s="2">
        <f t="shared" si="0"/>
        <v>7800</v>
      </c>
    </row>
    <row r="9" spans="1:5" x14ac:dyDescent="0.3">
      <c r="A9" s="2" t="s">
        <v>13</v>
      </c>
      <c r="B9" s="2" t="s">
        <v>14</v>
      </c>
      <c r="C9" s="2">
        <v>4</v>
      </c>
      <c r="D9" s="3">
        <v>1800</v>
      </c>
      <c r="E9" s="2">
        <f t="shared" si="0"/>
        <v>7200</v>
      </c>
    </row>
    <row r="10" spans="1:5" x14ac:dyDescent="0.3">
      <c r="A10" s="2" t="s">
        <v>5</v>
      </c>
      <c r="B10" s="2" t="s">
        <v>6</v>
      </c>
      <c r="C10" s="2">
        <v>12</v>
      </c>
      <c r="D10" s="3">
        <v>6500</v>
      </c>
      <c r="E10" s="2">
        <f t="shared" si="0"/>
        <v>78000</v>
      </c>
    </row>
    <row r="11" spans="1:5" x14ac:dyDescent="0.3">
      <c r="A11" s="2" t="s">
        <v>5</v>
      </c>
      <c r="B11" s="2" t="s">
        <v>9</v>
      </c>
      <c r="C11" s="2">
        <v>8</v>
      </c>
      <c r="D11" s="3">
        <v>7800</v>
      </c>
      <c r="E11" s="2">
        <f t="shared" si="0"/>
        <v>62400</v>
      </c>
    </row>
    <row r="12" spans="1:5" x14ac:dyDescent="0.3">
      <c r="A12" s="2" t="s">
        <v>5</v>
      </c>
      <c r="B12" s="2" t="s">
        <v>18</v>
      </c>
      <c r="C12" s="2">
        <v>8</v>
      </c>
      <c r="D12" s="3">
        <v>12000</v>
      </c>
      <c r="E12" s="2">
        <f t="shared" si="0"/>
        <v>96000</v>
      </c>
    </row>
    <row r="13" spans="1:5" x14ac:dyDescent="0.3">
      <c r="A13" s="2" t="s">
        <v>5</v>
      </c>
      <c r="B13" s="2" t="s">
        <v>23</v>
      </c>
      <c r="C13" s="2">
        <v>1</v>
      </c>
      <c r="D13" s="3">
        <v>1800</v>
      </c>
      <c r="E13" s="2">
        <f t="shared" si="0"/>
        <v>1800</v>
      </c>
    </row>
    <row r="14" spans="1:5" x14ac:dyDescent="0.3">
      <c r="A14" s="2" t="s">
        <v>19</v>
      </c>
      <c r="B14" s="2" t="s">
        <v>21</v>
      </c>
      <c r="C14" s="2">
        <v>6</v>
      </c>
      <c r="D14" s="3">
        <v>6500</v>
      </c>
      <c r="E14" s="2">
        <f t="shared" si="0"/>
        <v>39000</v>
      </c>
    </row>
    <row r="15" spans="1:5" x14ac:dyDescent="0.3">
      <c r="A15" s="2" t="s">
        <v>19</v>
      </c>
      <c r="B15" s="2" t="s">
        <v>20</v>
      </c>
      <c r="C15" s="2">
        <v>6</v>
      </c>
      <c r="D15" s="3">
        <v>2500</v>
      </c>
      <c r="E15" s="2">
        <f t="shared" si="0"/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FCD0-AE0E-45F1-9460-60A2FAF79BE2}">
  <dimension ref="A1:E20"/>
  <sheetViews>
    <sheetView tabSelected="1" workbookViewId="0">
      <selection activeCell="A21" sqref="A21"/>
    </sheetView>
  </sheetViews>
  <sheetFormatPr baseColWidth="10" defaultColWidth="8.88671875" defaultRowHeight="14.4" x14ac:dyDescent="0.3"/>
  <cols>
    <col min="2" max="2" width="26.33203125" bestFit="1" customWidth="1"/>
    <col min="3" max="3" width="11.88671875" customWidth="1"/>
    <col min="4" max="4" width="15.6640625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 t="s">
        <v>5</v>
      </c>
      <c r="B2" s="2" t="s">
        <v>6</v>
      </c>
      <c r="C2" s="2">
        <v>12</v>
      </c>
      <c r="D2" s="3">
        <v>6500</v>
      </c>
      <c r="E2" s="2">
        <f>+C2*D2</f>
        <v>78000</v>
      </c>
    </row>
    <row r="3" spans="1:5" x14ac:dyDescent="0.3">
      <c r="A3" s="2" t="s">
        <v>7</v>
      </c>
      <c r="B3" s="2" t="s">
        <v>8</v>
      </c>
      <c r="C3" s="2">
        <v>10</v>
      </c>
      <c r="D3" s="3">
        <v>4800</v>
      </c>
      <c r="E3" s="2">
        <f t="shared" ref="E3:E15" si="0">+C3*D3</f>
        <v>48000</v>
      </c>
    </row>
    <row r="4" spans="1:5" x14ac:dyDescent="0.3">
      <c r="A4" s="2" t="s">
        <v>5</v>
      </c>
      <c r="B4" s="2" t="s">
        <v>9</v>
      </c>
      <c r="C4" s="2">
        <v>8</v>
      </c>
      <c r="D4" s="3">
        <v>7800</v>
      </c>
      <c r="E4" s="2">
        <f t="shared" si="0"/>
        <v>62400</v>
      </c>
    </row>
    <row r="5" spans="1:5" x14ac:dyDescent="0.3">
      <c r="A5" s="2" t="s">
        <v>10</v>
      </c>
      <c r="B5" s="2" t="s">
        <v>11</v>
      </c>
      <c r="C5" s="2">
        <v>7</v>
      </c>
      <c r="D5" s="3">
        <v>8500</v>
      </c>
      <c r="E5" s="2">
        <f t="shared" si="0"/>
        <v>59500</v>
      </c>
    </row>
    <row r="6" spans="1:5" x14ac:dyDescent="0.3">
      <c r="A6" s="2" t="s">
        <v>10</v>
      </c>
      <c r="B6" s="2" t="s">
        <v>12</v>
      </c>
      <c r="C6" s="2">
        <v>4</v>
      </c>
      <c r="D6" s="3">
        <v>5000</v>
      </c>
      <c r="E6" s="2">
        <f t="shared" si="0"/>
        <v>20000</v>
      </c>
    </row>
    <row r="7" spans="1:5" x14ac:dyDescent="0.3">
      <c r="A7" s="2" t="s">
        <v>13</v>
      </c>
      <c r="B7" s="2" t="s">
        <v>14</v>
      </c>
      <c r="C7" s="2">
        <v>4</v>
      </c>
      <c r="D7" s="3">
        <v>1800</v>
      </c>
      <c r="E7" s="2">
        <f t="shared" si="0"/>
        <v>7200</v>
      </c>
    </row>
    <row r="8" spans="1:5" x14ac:dyDescent="0.3">
      <c r="A8" s="2" t="s">
        <v>13</v>
      </c>
      <c r="B8" s="2" t="s">
        <v>15</v>
      </c>
      <c r="C8" s="2">
        <v>3</v>
      </c>
      <c r="D8" s="3">
        <v>2600</v>
      </c>
      <c r="E8" s="2">
        <f t="shared" si="0"/>
        <v>7800</v>
      </c>
    </row>
    <row r="9" spans="1:5" x14ac:dyDescent="0.3">
      <c r="A9" s="2" t="s">
        <v>13</v>
      </c>
      <c r="B9" s="2" t="s">
        <v>16</v>
      </c>
      <c r="C9" s="2">
        <v>5</v>
      </c>
      <c r="D9" s="3">
        <v>1200</v>
      </c>
      <c r="E9" s="2">
        <f t="shared" si="0"/>
        <v>6000</v>
      </c>
    </row>
    <row r="10" spans="1:5" x14ac:dyDescent="0.3">
      <c r="A10" s="2" t="s">
        <v>7</v>
      </c>
      <c r="B10" s="2" t="s">
        <v>17</v>
      </c>
      <c r="C10" s="2">
        <v>2</v>
      </c>
      <c r="D10" s="3">
        <v>9400</v>
      </c>
      <c r="E10" s="2">
        <f t="shared" si="0"/>
        <v>18800</v>
      </c>
    </row>
    <row r="11" spans="1:5" x14ac:dyDescent="0.3">
      <c r="A11" s="2" t="s">
        <v>5</v>
      </c>
      <c r="B11" s="2" t="s">
        <v>18</v>
      </c>
      <c r="C11" s="2">
        <v>8</v>
      </c>
      <c r="D11" s="3">
        <v>12000</v>
      </c>
      <c r="E11" s="2">
        <f t="shared" si="0"/>
        <v>96000</v>
      </c>
    </row>
    <row r="12" spans="1:5" x14ac:dyDescent="0.3">
      <c r="A12" s="2" t="s">
        <v>19</v>
      </c>
      <c r="B12" s="2" t="s">
        <v>20</v>
      </c>
      <c r="C12" s="2">
        <v>6</v>
      </c>
      <c r="D12" s="3">
        <v>2500</v>
      </c>
      <c r="E12" s="2">
        <f t="shared" si="0"/>
        <v>15000</v>
      </c>
    </row>
    <row r="13" spans="1:5" x14ac:dyDescent="0.3">
      <c r="A13" s="2" t="s">
        <v>19</v>
      </c>
      <c r="B13" s="2" t="s">
        <v>21</v>
      </c>
      <c r="C13" s="2">
        <v>6</v>
      </c>
      <c r="D13" s="3">
        <v>6500</v>
      </c>
      <c r="E13" s="2">
        <f t="shared" si="0"/>
        <v>39000</v>
      </c>
    </row>
    <row r="14" spans="1:5" x14ac:dyDescent="0.3">
      <c r="A14" s="2" t="s">
        <v>7</v>
      </c>
      <c r="B14" s="2" t="s">
        <v>22</v>
      </c>
      <c r="C14" s="2">
        <v>2</v>
      </c>
      <c r="D14" s="3">
        <v>2400</v>
      </c>
      <c r="E14" s="2">
        <f t="shared" si="0"/>
        <v>4800</v>
      </c>
    </row>
    <row r="15" spans="1:5" x14ac:dyDescent="0.3">
      <c r="A15" s="2" t="s">
        <v>5</v>
      </c>
      <c r="B15" s="2" t="s">
        <v>23</v>
      </c>
      <c r="C15" s="2">
        <v>1</v>
      </c>
      <c r="D15" s="3">
        <v>1800</v>
      </c>
      <c r="E15" s="2">
        <f t="shared" si="0"/>
        <v>1800</v>
      </c>
    </row>
    <row r="18" spans="1:2" x14ac:dyDescent="0.3">
      <c r="A18" t="s">
        <v>36</v>
      </c>
      <c r="B18" s="5">
        <f>SUMIFS(E2:E15,A2:A15,"C",C2:C15,"&lt;10")</f>
        <v>23600</v>
      </c>
    </row>
    <row r="19" spans="1:2" x14ac:dyDescent="0.3">
      <c r="A19" t="s">
        <v>37</v>
      </c>
      <c r="B19" s="5">
        <f>+COUNTIFS(A2:A15,"R",D2:D15,"&gt;2000",C2:C15,"&lt;4")</f>
        <v>1</v>
      </c>
    </row>
    <row r="20" spans="1:2" x14ac:dyDescent="0.3">
      <c r="A20" t="s">
        <v>38</v>
      </c>
      <c r="B20">
        <f>+AVERAGEIFS(E2:E15,B2:B15,"T*",D2:D15,"&lt;12000")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Joaquin Garrido</cp:lastModifiedBy>
  <cp:revision/>
  <dcterms:created xsi:type="dcterms:W3CDTF">2026-02-11T18:43:09Z</dcterms:created>
  <dcterms:modified xsi:type="dcterms:W3CDTF">2026-02-12T01:12:13Z</dcterms:modified>
  <cp:category/>
  <cp:contentStatus/>
</cp:coreProperties>
</file>