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41" documentId="11_9248B46DC1CBB2E3ED7FF6F9903E8C1851038383" xr6:coauthVersionLast="47" xr6:coauthVersionMax="47" xr10:uidLastSave="{C7CF4496-5E03-49C3-983F-8A5B30809568}"/>
  <bookViews>
    <workbookView xWindow="240" yWindow="105" windowWidth="14805" windowHeight="8010" activeTab="1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<sst xmlns="http://schemas.openxmlformats.org/spreadsheetml/2006/main" count="129" uniqueCount="30">
  <si>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</si>
  <si>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</si>
  <si>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</si>
  <si>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ORECIO UNITI.</t>
  </si>
  <si>
    <t>TOTAL</t>
  </si>
  <si>
    <t>T</t>
  </si>
  <si>
    <t>Televisor 32"</t>
  </si>
  <si>
    <t>H</t>
  </si>
  <si>
    <t>C</t>
  </si>
  <si>
    <t>Cocina 4 hornallas</t>
  </si>
  <si>
    <t>Televisor 42" LED</t>
  </si>
  <si>
    <t>Heladera 12 pies, con freezer</t>
  </si>
  <si>
    <t>R</t>
  </si>
  <si>
    <t>&gt;=5</t>
  </si>
  <si>
    <t>Freezer carga superior</t>
  </si>
  <si>
    <t>Radio onda corta</t>
  </si>
  <si>
    <t>Radio con CD y mp3</t>
  </si>
  <si>
    <t>Radio AM/FM 3 bandas</t>
  </si>
  <si>
    <t>Cocina industrial 6 hornallas</t>
  </si>
  <si>
    <t>Televisor 42" LED 3D</t>
  </si>
  <si>
    <t>&gt;4</t>
  </si>
  <si>
    <t>&lt;9</t>
  </si>
  <si>
    <t>V</t>
  </si>
  <si>
    <t>Ventilador 25" giratorio</t>
  </si>
  <si>
    <t>Aire acondicionado F/C</t>
  </si>
  <si>
    <t>Anafe 2 hornallas</t>
  </si>
  <si>
    <t>TV portatil (12V)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</si>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</sst>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$-2C0A]\ #,##0.00"/>
    <numFmt numFmtId="166" formatCode="_-[$$-409]* #,##0.00_ ;_-[$$-409]* \-#,##0.00\ ;_-[$$-409]* &quot;-&quot;??_ ;_-@_ "/>
  </numFmts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66" fontId="0" fillId="0" borderId="0" xfId="0" applyNumberFormat="1"/>
    <xf numFmtId="0" fontId="0" fillId="0" borderId="0" xfId="0" applyAlignment="1">
      <alignment wrapText="1"/>
    </xf>
    <xf numFmtId="166" fontId="0" fillId="0" borderId="0" xfId="0" applyNumberForma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workbookViewId="0">
      <selection sqref="A1:E15"/>
    </sheetView>
  </sheetViews>
  <sheetFormatPr defaultRowHeight="15"/>
  <cols>
    <col min="1" max="1" width="10.5703125" bestFit="1" customWidth="1"/>
    <col min="2" max="2" width="26.28515625" bestFit="1" customWidth="1"/>
    <col min="3" max="3" width="10.140625" bestFit="1" customWidth="1"/>
    <col min="4" max="4" width="13.42578125" bestFit="1" customWidth="1"/>
    <col min="5" max="5" width="10.710937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</row>
    <row r="2" spans="1:16">
      <c r="A2" s="1" t="s">
        <v>5</v>
      </c>
      <c r="B2" s="1" t="s">
        <v>6</v>
      </c>
      <c r="C2" s="1">
        <v>12</v>
      </c>
      <c r="D2" s="2">
        <v>6500</v>
      </c>
      <c r="E2" s="2">
        <f>D2*C2</f>
        <v>78000</v>
      </c>
      <c r="K2" s="1" t="s">
        <v>7</v>
      </c>
      <c r="L2" s="1"/>
      <c r="M2" s="1"/>
      <c r="N2" s="2"/>
      <c r="O2" s="2"/>
    </row>
    <row r="3" spans="1:16">
      <c r="A3" s="1" t="s">
        <v>8</v>
      </c>
      <c r="B3" s="1" t="s">
        <v>9</v>
      </c>
      <c r="C3" s="1">
        <v>10</v>
      </c>
      <c r="D3" s="2">
        <v>4800</v>
      </c>
      <c r="E3" s="2">
        <f t="shared" ref="E3:E15" si="0">D3*C3</f>
        <v>48000</v>
      </c>
    </row>
    <row r="4" spans="1:16">
      <c r="A4" s="1" t="s">
        <v>5</v>
      </c>
      <c r="B4" s="1" t="s">
        <v>10</v>
      </c>
      <c r="C4" s="1">
        <v>8</v>
      </c>
      <c r="D4" s="2">
        <v>7800</v>
      </c>
      <c r="E4" s="2">
        <f t="shared" si="0"/>
        <v>62400</v>
      </c>
      <c r="K4" s="3" t="s">
        <v>0</v>
      </c>
      <c r="L4" s="3" t="s">
        <v>1</v>
      </c>
      <c r="M4" s="3" t="s">
        <v>2</v>
      </c>
      <c r="N4" s="3" t="s">
        <v>3</v>
      </c>
      <c r="O4" s="3" t="s">
        <v>4</v>
      </c>
    </row>
    <row r="5" spans="1:16">
      <c r="A5" s="1" t="s">
        <v>7</v>
      </c>
      <c r="B5" s="1" t="s">
        <v>11</v>
      </c>
      <c r="C5" s="1">
        <v>7</v>
      </c>
      <c r="D5" s="2">
        <v>8500</v>
      </c>
      <c r="E5" s="2">
        <f t="shared" si="0"/>
        <v>59500</v>
      </c>
      <c r="K5" s="1" t="s">
        <v>12</v>
      </c>
      <c r="L5" s="1"/>
      <c r="M5" s="1" t="s">
        <v>13</v>
      </c>
      <c r="N5" s="2"/>
      <c r="O5" s="2"/>
    </row>
    <row r="6" spans="1:16">
      <c r="A6" s="1" t="s">
        <v>7</v>
      </c>
      <c r="B6" s="1" t="s">
        <v>14</v>
      </c>
      <c r="C6" s="1">
        <v>4</v>
      </c>
      <c r="D6" s="2">
        <v>5000</v>
      </c>
      <c r="E6" s="2">
        <f t="shared" si="0"/>
        <v>20000</v>
      </c>
    </row>
    <row r="7" spans="1:16">
      <c r="A7" s="1" t="s">
        <v>12</v>
      </c>
      <c r="B7" s="1" t="s">
        <v>15</v>
      </c>
      <c r="C7" s="1">
        <v>4</v>
      </c>
      <c r="D7" s="2">
        <v>1800</v>
      </c>
      <c r="E7" s="2">
        <f t="shared" si="0"/>
        <v>7200</v>
      </c>
      <c r="K7" s="3" t="s">
        <v>0</v>
      </c>
      <c r="L7" s="3" t="s">
        <v>1</v>
      </c>
      <c r="M7" s="3" t="s">
        <v>2</v>
      </c>
      <c r="N7" s="3" t="s">
        <v>3</v>
      </c>
      <c r="O7" s="3" t="s">
        <v>4</v>
      </c>
    </row>
    <row r="8" spans="1:16">
      <c r="A8" s="1" t="s">
        <v>12</v>
      </c>
      <c r="B8" s="1" t="s">
        <v>16</v>
      </c>
      <c r="C8" s="1">
        <v>3</v>
      </c>
      <c r="D8" s="2">
        <v>2600</v>
      </c>
      <c r="E8" s="2">
        <f t="shared" si="0"/>
        <v>7800</v>
      </c>
      <c r="K8" s="1"/>
      <c r="L8" s="1" t="s">
        <v>15</v>
      </c>
      <c r="M8" s="1"/>
      <c r="N8" s="2"/>
      <c r="O8" s="2"/>
    </row>
    <row r="9" spans="1:16">
      <c r="A9" s="1" t="s">
        <v>12</v>
      </c>
      <c r="B9" s="1" t="s">
        <v>17</v>
      </c>
      <c r="C9" s="1">
        <v>5</v>
      </c>
      <c r="D9" s="2">
        <v>1200</v>
      </c>
      <c r="E9" s="2">
        <f t="shared" si="0"/>
        <v>6000</v>
      </c>
    </row>
    <row r="10" spans="1:16">
      <c r="A10" s="1" t="s">
        <v>8</v>
      </c>
      <c r="B10" s="1" t="s">
        <v>18</v>
      </c>
      <c r="C10" s="1">
        <v>2</v>
      </c>
      <c r="D10" s="2">
        <v>9400</v>
      </c>
      <c r="E10" s="2">
        <f t="shared" si="0"/>
        <v>18800</v>
      </c>
      <c r="K10" s="3" t="s">
        <v>0</v>
      </c>
      <c r="L10" s="3" t="s">
        <v>1</v>
      </c>
      <c r="M10" s="3" t="s">
        <v>2</v>
      </c>
      <c r="N10" s="3" t="s">
        <v>3</v>
      </c>
      <c r="O10" s="3" t="s">
        <v>4</v>
      </c>
      <c r="P10" s="3" t="s">
        <v>2</v>
      </c>
    </row>
    <row r="11" spans="1:16">
      <c r="A11" s="1" t="s">
        <v>5</v>
      </c>
      <c r="B11" s="1" t="s">
        <v>19</v>
      </c>
      <c r="C11" s="1">
        <v>8</v>
      </c>
      <c r="D11" s="2">
        <v>12000</v>
      </c>
      <c r="E11" s="2">
        <f t="shared" si="0"/>
        <v>96000</v>
      </c>
      <c r="K11" s="1"/>
      <c r="L11" s="1"/>
      <c r="M11" s="1" t="s">
        <v>20</v>
      </c>
      <c r="N11" s="2"/>
      <c r="O11" s="2"/>
      <c r="P11" s="1" t="s">
        <v>21</v>
      </c>
    </row>
    <row r="12" spans="1:16">
      <c r="A12" s="1" t="s">
        <v>22</v>
      </c>
      <c r="B12" s="1" t="s">
        <v>23</v>
      </c>
      <c r="C12" s="1">
        <v>6</v>
      </c>
      <c r="D12" s="2">
        <v>2500</v>
      </c>
      <c r="E12" s="2">
        <f t="shared" si="0"/>
        <v>15000</v>
      </c>
    </row>
    <row r="13" spans="1:16">
      <c r="A13" s="1" t="s">
        <v>22</v>
      </c>
      <c r="B13" s="1" t="s">
        <v>24</v>
      </c>
      <c r="C13" s="1">
        <v>6</v>
      </c>
      <c r="D13" s="2">
        <v>6500</v>
      </c>
      <c r="E13" s="2">
        <f t="shared" si="0"/>
        <v>39000</v>
      </c>
    </row>
    <row r="14" spans="1:16">
      <c r="A14" s="1" t="s">
        <v>8</v>
      </c>
      <c r="B14" s="1" t="s">
        <v>25</v>
      </c>
      <c r="C14" s="1">
        <v>2</v>
      </c>
      <c r="D14" s="2">
        <v>2400</v>
      </c>
      <c r="E14" s="2">
        <f t="shared" si="0"/>
        <v>4800</v>
      </c>
    </row>
    <row r="15" spans="1:16">
      <c r="A15" s="1" t="s">
        <v>5</v>
      </c>
      <c r="B15" s="1" t="s">
        <v>26</v>
      </c>
      <c r="C15" s="1">
        <v>1</v>
      </c>
      <c r="D15" s="2">
        <v>1800</v>
      </c>
      <c r="E15" s="2">
        <f t="shared" si="0"/>
        <v>1800</v>
      </c>
    </row>
    <row r="17" spans="1:1">
      <c r="A17" s="4">
        <f>DMAX(A1:E15,4,K1:O2)</f>
        <v>8500</v>
      </c>
    </row>
    <row r="18" spans="1:1">
      <c r="A18" s="4">
        <f>DSUM(A1:E15,5,K4:O5)</f>
        <v>6000</v>
      </c>
    </row>
    <row r="19" spans="1:1">
      <c r="A19" s="4">
        <f>DGET(A1:E15,4,K7:O8)</f>
        <v>1800</v>
      </c>
    </row>
    <row r="20" spans="1:1">
      <c r="A20">
        <f>DCOUNTA(A1:E15,2,K10:P11)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EC8E-C0B0-48C6-A43A-2879AEA34CC2}">
  <dimension ref="A1:E15"/>
  <sheetViews>
    <sheetView workbookViewId="0">
      <selection activeCell="C8" sqref="C8"/>
    </sheetView>
  </sheetViews>
  <sheetFormatPr defaultRowHeight="15"/>
  <cols>
    <col min="2" max="2" width="30.42578125" customWidth="1"/>
    <col min="3" max="3" width="11.5703125" customWidth="1"/>
    <col min="4" max="4" width="17.42578125" customWidth="1"/>
    <col min="5" max="5" width="11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22</v>
      </c>
      <c r="B2" s="1" t="s">
        <v>24</v>
      </c>
      <c r="C2" s="1">
        <v>12</v>
      </c>
      <c r="D2" s="2">
        <v>6500</v>
      </c>
      <c r="E2" s="2">
        <f>D2*C2</f>
        <v>78000</v>
      </c>
    </row>
    <row r="3" spans="1:5">
      <c r="A3" s="1" t="s">
        <v>22</v>
      </c>
      <c r="B3" s="1" t="s">
        <v>25</v>
      </c>
      <c r="C3" s="1">
        <v>10</v>
      </c>
      <c r="D3" s="2">
        <v>4800</v>
      </c>
      <c r="E3" s="2">
        <f t="shared" ref="E3:E15" si="0">D3*C3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5</v>
      </c>
      <c r="B5" s="1" t="s">
        <v>18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5</v>
      </c>
      <c r="B6" s="1" t="s">
        <v>14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5</v>
      </c>
      <c r="B7" s="1" t="s">
        <v>11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12</v>
      </c>
      <c r="B8" s="1" t="s">
        <v>17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12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12</v>
      </c>
      <c r="B10" s="1" t="s">
        <v>15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7</v>
      </c>
      <c r="B11" s="1" t="s">
        <v>6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7</v>
      </c>
      <c r="B12" s="1" t="s">
        <v>10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8</v>
      </c>
      <c r="B13" s="1" t="s">
        <v>19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8</v>
      </c>
      <c r="B14" s="1" t="s">
        <v>26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8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</sheetData>
  <sortState xmlns:xlrd2="http://schemas.microsoft.com/office/spreadsheetml/2017/richdata2" ref="A2:A15">
    <sortCondition descending="1" ref="A2:A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E215-0569-4ED3-8955-770A46EA4FFF}">
  <dimension ref="A1:E20"/>
  <sheetViews>
    <sheetView workbookViewId="0">
      <selection activeCell="E19" sqref="E19"/>
    </sheetView>
  </sheetViews>
  <sheetFormatPr defaultRowHeight="15"/>
  <cols>
    <col min="1" max="1" width="19.5703125" bestFit="1" customWidth="1"/>
    <col min="2" max="2" width="29.42578125" customWidth="1"/>
    <col min="4" max="4" width="19.5703125" customWidth="1"/>
    <col min="5" max="5" width="14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D2*C2</f>
        <v>78000</v>
      </c>
    </row>
    <row r="3" spans="1:5">
      <c r="A3" s="1" t="s">
        <v>8</v>
      </c>
      <c r="B3" s="1" t="s">
        <v>9</v>
      </c>
      <c r="C3" s="1">
        <v>10</v>
      </c>
      <c r="D3" s="2">
        <v>4800</v>
      </c>
      <c r="E3" s="2">
        <f t="shared" ref="E3:E15" si="0">D3*C3</f>
        <v>48000</v>
      </c>
    </row>
    <row r="4" spans="1:5">
      <c r="A4" s="1" t="s">
        <v>5</v>
      </c>
      <c r="B4" s="1" t="s">
        <v>10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7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7</v>
      </c>
      <c r="B6" s="1" t="s">
        <v>14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12</v>
      </c>
      <c r="B7" s="1" t="s">
        <v>15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12</v>
      </c>
      <c r="B8" s="1" t="s">
        <v>16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12</v>
      </c>
      <c r="B9" s="1" t="s">
        <v>17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8</v>
      </c>
      <c r="B10" s="1" t="s">
        <v>18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19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22</v>
      </c>
      <c r="B12" s="1" t="s">
        <v>23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22</v>
      </c>
      <c r="B13" s="1" t="s">
        <v>24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8</v>
      </c>
      <c r="B14" s="1" t="s">
        <v>25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26</v>
      </c>
      <c r="C15" s="1">
        <v>1</v>
      </c>
      <c r="D15" s="2">
        <v>1800</v>
      </c>
      <c r="E15" s="2">
        <f t="shared" si="0"/>
        <v>1800</v>
      </c>
    </row>
    <row r="18" spans="1:2">
      <c r="A18" s="7" t="s">
        <v>27</v>
      </c>
      <c r="B18" s="6">
        <f>SUMIFS(E2:E15,A2:A15,"C",C2:C15,"&lt;10")</f>
        <v>23600</v>
      </c>
    </row>
    <row r="19" spans="1:2">
      <c r="A19" s="7" t="s">
        <v>28</v>
      </c>
      <c r="B19" s="5">
        <f>COUNTIFS(A2:A15,"R",D2:D15,"&gt;2000",C2:C15,"&lt;4")</f>
        <v>1</v>
      </c>
    </row>
    <row r="20" spans="1:2">
      <c r="A20" s="7" t="s">
        <v>29</v>
      </c>
      <c r="B20" s="4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ramiro gomez</cp:lastModifiedBy>
  <cp:revision/>
  <dcterms:created xsi:type="dcterms:W3CDTF">2026-02-18T20:12:39Z</dcterms:created>
  <dcterms:modified xsi:type="dcterms:W3CDTF">2026-02-19T00:35:13Z</dcterms:modified>
  <cp:category/>
  <cp:contentStatus/>
</cp:coreProperties>
</file>