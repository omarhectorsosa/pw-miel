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gi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DC935E47-341D-4641-BCC7-EA94886F22B2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B18" i="3"/>
  <c r="B19" i="3"/>
  <c r="B20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1" i="2"/>
  <c r="E4" i="2"/>
  <c r="E7" i="2"/>
  <c r="E8" i="2"/>
  <c r="E9" i="2"/>
  <c r="E5" i="2"/>
  <c r="E6" i="2"/>
  <c r="E12" i="2"/>
  <c r="E3" i="2"/>
  <c r="E10" i="2"/>
  <c r="A19" i="1"/>
  <c r="A18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<sst xmlns="http://schemas.openxmlformats.org/spreadsheetml/2006/main" count="129" uniqueCount="35">
  <si>
    <t>codigo</t>
  </si>
  <si>
    <t>Descripcion</t>
  </si>
  <si>
    <t>Cantidad</t>
  </si>
  <si>
    <t>precio unit.</t>
  </si>
  <si>
    <t>Total</t>
  </si>
  <si>
    <t>T</t>
  </si>
  <si>
    <t>Televisor 32</t>
  </si>
  <si>
    <t>C</t>
  </si>
  <si>
    <t>Cocina 4 hornalla</t>
  </si>
  <si>
    <t>Televisor de 42 LED</t>
  </si>
  <si>
    <t>H</t>
  </si>
  <si>
    <t>Heladera 12 pies,con freezer</t>
  </si>
  <si>
    <t>Freezer carga superior</t>
  </si>
  <si>
    <t>R</t>
  </si>
  <si>
    <t>Radio onda corta</t>
  </si>
  <si>
    <t>Radio con CD y mp3</t>
  </si>
  <si>
    <t>Radio AM/FM 3 bandas</t>
  </si>
  <si>
    <t>Cocina industrial 6 hornalla</t>
  </si>
  <si>
    <t>Televisor 42 Led 3D</t>
  </si>
  <si>
    <t>V</t>
  </si>
  <si>
    <t>Ventilador 25 giratorio</t>
  </si>
  <si>
    <t>Aire acondicionado F/C</t>
  </si>
  <si>
    <t>Anafe 2 hornallas</t>
  </si>
  <si>
    <t>Tv portatil(12 V)</t>
  </si>
  <si>
    <t>CODIGO</t>
  </si>
  <si>
    <t>DESCRIPCION</t>
  </si>
  <si>
    <t>CANTIDAD</t>
  </si>
  <si>
    <t>PRECIO UNIT.</t>
  </si>
  <si>
    <t>TOTAL</t>
  </si>
  <si>
    <t>&gt;=5</t>
  </si>
  <si>
    <t>&lt;4</t>
  </si>
  <si>
    <t>&gt;9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</si>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</sst>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8">
    <font>
      <sz val="11"/>
      <color theme="1"/>
      <name val="Calibri"/>
      <family val="2"/>
      <scheme val="minor"/>
    </font>
    <font>
      <sz val="11"/>
      <color theme="1"/>
      <name val="Aptos Narrow"/>
    </font>
    <font>
      <b/>
      <sz val="11"/>
      <color theme="0"/>
      <name val="Calibri"/>
      <family val="2"/>
      <scheme val="minor"/>
    </font>
    <font>
      <sz val="12"/>
      <color rgb="FF1F1F1F"/>
      <name val="Google Sans"/>
      <charset val="1"/>
    </font>
    <font>
      <sz val="12"/>
      <color rgb="FF1F1F1F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1F1F1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164" fontId="1" fillId="0" borderId="4" xfId="0" applyNumberFormat="1" applyFont="1" applyBorder="1"/>
    <xf numFmtId="164" fontId="1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wrapText="1"/>
    </xf>
    <xf numFmtId="0" fontId="6" fillId="2" borderId="1" xfId="0" applyFont="1" applyFill="1" applyBorder="1"/>
    <xf numFmtId="0" fontId="7" fillId="0" borderId="0" xfId="0" applyFont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1</xdr:col>
      <xdr:colOff>123825</xdr:colOff>
      <xdr:row>35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2A297F-6E7B-E77A-7C1C-FA7EF5C2F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" y="6667500"/>
          <a:ext cx="123825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123825</xdr:colOff>
      <xdr:row>35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F1A25A-DA14-1084-1CC4-30223E442F66}"/>
            </a:ext>
            <a:ext uri="{147F2762-F138-4A5C-976F-8EAC2B608ADB}">
              <a16:predDERef xmlns:a16="http://schemas.microsoft.com/office/drawing/2014/main" pred="{532A297F-6E7B-E77A-7C1C-FA7EF5C2F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" y="6667500"/>
          <a:ext cx="123825" cy="22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opLeftCell="A4" workbookViewId="0">
      <selection activeCell="A20" sqref="A20"/>
    </sheetView>
  </sheetViews>
  <sheetFormatPr defaultRowHeight="15"/>
  <cols>
    <col min="1" max="1" width="28.140625" bestFit="1" customWidth="1"/>
    <col min="2" max="2" width="25.7109375" bestFit="1" customWidth="1"/>
    <col min="3" max="3" width="10.140625" bestFit="1" customWidth="1"/>
    <col min="4" max="4" width="12.7109375" bestFit="1" customWidth="1"/>
    <col min="5" max="5" width="11" bestFit="1" customWidth="1"/>
    <col min="6" max="6" width="10.140625" bestFit="1" customWidth="1"/>
  </cols>
  <sheetData>
    <row r="1" spans="1:5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3">
        <f>PRODUCT(C2,D2)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3">
        <f t="shared" ref="E3:E15" si="0">PRODUCT(C3,D3)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3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3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3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3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3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3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2">
        <v>9400</v>
      </c>
      <c r="E10" s="3">
        <f t="shared" si="0"/>
        <v>18800</v>
      </c>
    </row>
    <row r="11" spans="1:5">
      <c r="A11" s="1" t="s">
        <v>5</v>
      </c>
      <c r="B11" s="1" t="s">
        <v>18</v>
      </c>
      <c r="C11" s="1">
        <v>8</v>
      </c>
      <c r="D11" s="2">
        <v>12000</v>
      </c>
      <c r="E11" s="3">
        <f t="shared" si="0"/>
        <v>96000</v>
      </c>
    </row>
    <row r="12" spans="1:5">
      <c r="A12" s="1" t="s">
        <v>19</v>
      </c>
      <c r="B12" s="1" t="s">
        <v>20</v>
      </c>
      <c r="C12" s="1">
        <v>6</v>
      </c>
      <c r="D12" s="2">
        <v>2500</v>
      </c>
      <c r="E12" s="3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2">
        <v>6500</v>
      </c>
      <c r="E13" s="3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2">
        <v>2400</v>
      </c>
      <c r="E14" s="3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2">
        <v>1800</v>
      </c>
      <c r="E15" s="3">
        <f t="shared" si="0"/>
        <v>1800</v>
      </c>
    </row>
    <row r="17" spans="1:5">
      <c r="A17">
        <f>DMAX(A1:E15,D1,A29:E30)</f>
        <v>8500</v>
      </c>
    </row>
    <row r="18" spans="1:5">
      <c r="A18">
        <f>DSUM(A1:E15,E1,A33:E34)</f>
        <v>6000</v>
      </c>
    </row>
    <row r="19" spans="1:5">
      <c r="A19">
        <f>DGET(A1:E15,D1,A38:E39)</f>
        <v>1800</v>
      </c>
    </row>
    <row r="20" spans="1:5">
      <c r="A20">
        <f>DCOUNTA(A1:E15,2,A42:F43)</f>
        <v>0</v>
      </c>
    </row>
    <row r="29" spans="1:5">
      <c r="A29" s="12" t="s">
        <v>24</v>
      </c>
      <c r="B29" s="12" t="s">
        <v>25</v>
      </c>
      <c r="C29" s="12" t="s">
        <v>26</v>
      </c>
      <c r="D29" s="12" t="s">
        <v>27</v>
      </c>
      <c r="E29" s="12" t="s">
        <v>28</v>
      </c>
    </row>
    <row r="30" spans="1:5">
      <c r="A30" t="s">
        <v>10</v>
      </c>
    </row>
    <row r="33" spans="1:6">
      <c r="A33" s="4" t="s">
        <v>0</v>
      </c>
      <c r="B33" s="4" t="s">
        <v>1</v>
      </c>
      <c r="C33" s="4" t="s">
        <v>2</v>
      </c>
      <c r="D33" s="5" t="s">
        <v>3</v>
      </c>
      <c r="E33" s="6" t="s">
        <v>4</v>
      </c>
    </row>
    <row r="34" spans="1:6" ht="15.75">
      <c r="A34" t="s">
        <v>13</v>
      </c>
      <c r="B34" s="8"/>
      <c r="C34" s="13" t="s">
        <v>29</v>
      </c>
    </row>
    <row r="38" spans="1:6">
      <c r="A38" s="4" t="s">
        <v>0</v>
      </c>
      <c r="B38" s="4" t="s">
        <v>1</v>
      </c>
      <c r="C38" s="4" t="s">
        <v>2</v>
      </c>
      <c r="D38" s="5" t="s">
        <v>3</v>
      </c>
      <c r="E38" s="6" t="s">
        <v>4</v>
      </c>
    </row>
    <row r="39" spans="1:6">
      <c r="B39" s="14" t="s">
        <v>14</v>
      </c>
    </row>
    <row r="42" spans="1:6">
      <c r="A42" s="4" t="s">
        <v>0</v>
      </c>
      <c r="B42" s="4" t="s">
        <v>1</v>
      </c>
      <c r="C42" s="4" t="s">
        <v>2</v>
      </c>
      <c r="D42" s="5" t="s">
        <v>3</v>
      </c>
      <c r="E42" s="9" t="s">
        <v>4</v>
      </c>
      <c r="F42" s="12" t="s">
        <v>26</v>
      </c>
    </row>
    <row r="43" spans="1:6" ht="15.75">
      <c r="C43" s="7" t="s">
        <v>30</v>
      </c>
      <c r="F43" s="7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F4E74-6EDE-4F6D-AFC2-992A1D51F6E2}">
  <dimension ref="A1:E15"/>
  <sheetViews>
    <sheetView workbookViewId="0">
      <selection activeCell="C17" sqref="C17"/>
    </sheetView>
  </sheetViews>
  <sheetFormatPr defaultRowHeight="15"/>
  <cols>
    <col min="1" max="1" width="21.28515625" customWidth="1"/>
    <col min="2" max="2" width="16.7109375" customWidth="1"/>
    <col min="3" max="3" width="14.7109375" customWidth="1"/>
    <col min="4" max="4" width="17.5703125" customWidth="1"/>
    <col min="5" max="5" width="17" customWidth="1"/>
  </cols>
  <sheetData>
    <row r="1" spans="1:5">
      <c r="A1" s="4" t="s">
        <v>0</v>
      </c>
      <c r="B1" s="4" t="s">
        <v>1</v>
      </c>
      <c r="C1" s="4" t="s">
        <v>2</v>
      </c>
      <c r="D1" s="5" t="s">
        <v>3</v>
      </c>
      <c r="E1" s="5" t="s">
        <v>3</v>
      </c>
    </row>
    <row r="2" spans="1:5">
      <c r="A2" s="1" t="s">
        <v>7</v>
      </c>
      <c r="B2" s="1" t="s">
        <v>22</v>
      </c>
      <c r="C2" s="1">
        <v>2</v>
      </c>
      <c r="D2" s="2">
        <v>2400</v>
      </c>
      <c r="E2" s="3">
        <f>PRODUCT(C2,D2)</f>
        <v>4800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3">
        <f>PRODUCT(C3,D3)</f>
        <v>48000</v>
      </c>
    </row>
    <row r="4" spans="1:5">
      <c r="A4" s="1" t="s">
        <v>7</v>
      </c>
      <c r="B4" s="1" t="s">
        <v>17</v>
      </c>
      <c r="C4" s="1">
        <v>2</v>
      </c>
      <c r="D4" s="2">
        <v>9400</v>
      </c>
      <c r="E4" s="3">
        <f>PRODUCT(C4,D4)</f>
        <v>18800</v>
      </c>
    </row>
    <row r="5" spans="1:5">
      <c r="A5" s="1" t="s">
        <v>10</v>
      </c>
      <c r="B5" s="1" t="s">
        <v>12</v>
      </c>
      <c r="C5" s="1">
        <v>4</v>
      </c>
      <c r="D5" s="2">
        <v>5000</v>
      </c>
      <c r="E5" s="3">
        <f>PRODUCT(C5,D5)</f>
        <v>20000</v>
      </c>
    </row>
    <row r="6" spans="1:5">
      <c r="A6" s="1" t="s">
        <v>10</v>
      </c>
      <c r="B6" s="1" t="s">
        <v>11</v>
      </c>
      <c r="C6" s="1">
        <v>7</v>
      </c>
      <c r="D6" s="2">
        <v>8500</v>
      </c>
      <c r="E6" s="3">
        <f>PRODUCT(C6,D6)</f>
        <v>59500</v>
      </c>
    </row>
    <row r="7" spans="1:5">
      <c r="A7" s="1" t="s">
        <v>13</v>
      </c>
      <c r="B7" s="1" t="s">
        <v>16</v>
      </c>
      <c r="C7" s="1">
        <v>5</v>
      </c>
      <c r="D7" s="2">
        <v>1200</v>
      </c>
      <c r="E7" s="3">
        <f>PRODUCT(C7,D7)</f>
        <v>6000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3">
        <f>PRODUCT(C8,D8)</f>
        <v>7800</v>
      </c>
    </row>
    <row r="9" spans="1:5">
      <c r="A9" s="1" t="s">
        <v>13</v>
      </c>
      <c r="B9" s="1" t="s">
        <v>14</v>
      </c>
      <c r="C9" s="1">
        <v>4</v>
      </c>
      <c r="D9" s="2">
        <v>1800</v>
      </c>
      <c r="E9" s="3">
        <f>PRODUCT(C9,D9)</f>
        <v>7200</v>
      </c>
    </row>
    <row r="10" spans="1:5">
      <c r="A10" s="1" t="s">
        <v>5</v>
      </c>
      <c r="B10" s="1" t="s">
        <v>6</v>
      </c>
      <c r="C10" s="1">
        <v>12</v>
      </c>
      <c r="D10" s="2">
        <v>6500</v>
      </c>
      <c r="E10" s="3">
        <f>PRODUCT(C10,D10)</f>
        <v>78000</v>
      </c>
    </row>
    <row r="11" spans="1:5">
      <c r="A11" s="1" t="s">
        <v>5</v>
      </c>
      <c r="B11" s="1" t="s">
        <v>18</v>
      </c>
      <c r="C11" s="1">
        <v>8</v>
      </c>
      <c r="D11" s="2">
        <v>12000</v>
      </c>
      <c r="E11" s="3">
        <f>PRODUCT(C11,D11)</f>
        <v>96000</v>
      </c>
    </row>
    <row r="12" spans="1:5">
      <c r="A12" s="1" t="s">
        <v>5</v>
      </c>
      <c r="B12" s="1" t="s">
        <v>9</v>
      </c>
      <c r="C12" s="1">
        <v>8</v>
      </c>
      <c r="D12" s="2">
        <v>7800</v>
      </c>
      <c r="E12" s="3">
        <f>PRODUCT(C12,D12)</f>
        <v>62400</v>
      </c>
    </row>
    <row r="13" spans="1:5">
      <c r="A13" s="1" t="s">
        <v>5</v>
      </c>
      <c r="B13" s="1" t="s">
        <v>23</v>
      </c>
      <c r="C13" s="1">
        <v>1</v>
      </c>
      <c r="D13" s="2">
        <v>1800</v>
      </c>
      <c r="E13" s="3">
        <f>PRODUCT(C13,D13)</f>
        <v>1800</v>
      </c>
    </row>
    <row r="14" spans="1:5">
      <c r="A14" s="1" t="s">
        <v>19</v>
      </c>
      <c r="B14" s="1" t="s">
        <v>21</v>
      </c>
      <c r="C14" s="1">
        <v>6</v>
      </c>
      <c r="D14" s="2">
        <v>6500</v>
      </c>
      <c r="E14" s="3">
        <f>PRODUCT(C14,D14)</f>
        <v>39000</v>
      </c>
    </row>
    <row r="15" spans="1:5">
      <c r="A15" s="1" t="s">
        <v>19</v>
      </c>
      <c r="B15" s="1" t="s">
        <v>20</v>
      </c>
      <c r="C15" s="1">
        <v>6</v>
      </c>
      <c r="D15" s="2">
        <v>2500</v>
      </c>
      <c r="E15" s="3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25E2-A720-4A29-9E65-11FEDC013E34}">
  <dimension ref="A1:E20"/>
  <sheetViews>
    <sheetView tabSelected="1" workbookViewId="0">
      <selection activeCell="B19" sqref="B19"/>
    </sheetView>
  </sheetViews>
  <sheetFormatPr defaultRowHeight="15"/>
  <cols>
    <col min="1" max="1" width="19.5703125" bestFit="1" customWidth="1"/>
    <col min="2" max="2" width="19.28515625" customWidth="1"/>
    <col min="3" max="3" width="21.7109375" customWidth="1"/>
    <col min="4" max="4" width="23.85546875" customWidth="1"/>
    <col min="5" max="5" width="20" customWidth="1"/>
  </cols>
  <sheetData>
    <row r="1" spans="1:5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3">
        <f>PRODUCT(C2,D2)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3">
        <f t="shared" ref="E3:E15" si="0">PRODUCT(C3,D3)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3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3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3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3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3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3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2">
        <v>9400</v>
      </c>
      <c r="E10" s="3">
        <f t="shared" si="0"/>
        <v>18800</v>
      </c>
    </row>
    <row r="11" spans="1:5">
      <c r="A11" s="1" t="s">
        <v>5</v>
      </c>
      <c r="B11" s="1" t="s">
        <v>18</v>
      </c>
      <c r="C11" s="1">
        <v>8</v>
      </c>
      <c r="D11" s="2">
        <v>12000</v>
      </c>
      <c r="E11" s="3">
        <f t="shared" si="0"/>
        <v>96000</v>
      </c>
    </row>
    <row r="12" spans="1:5">
      <c r="A12" s="1" t="s">
        <v>19</v>
      </c>
      <c r="B12" s="1" t="s">
        <v>20</v>
      </c>
      <c r="C12" s="1">
        <v>6</v>
      </c>
      <c r="D12" s="2">
        <v>2500</v>
      </c>
      <c r="E12" s="3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2">
        <v>6500</v>
      </c>
      <c r="E13" s="3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2">
        <v>2400</v>
      </c>
      <c r="E14" s="3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2">
        <v>1800</v>
      </c>
      <c r="E15" s="3">
        <f t="shared" si="0"/>
        <v>1800</v>
      </c>
    </row>
    <row r="18" spans="1:2">
      <c r="A18" s="10" t="s">
        <v>32</v>
      </c>
      <c r="B18">
        <f>SUMIFS(E2:E15,A2:A15,"C",C2:C15,"&lt;10")</f>
        <v>23600</v>
      </c>
    </row>
    <row r="19" spans="1:2">
      <c r="A19" s="10" t="s">
        <v>33</v>
      </c>
      <c r="B19" s="11">
        <f>COUNTIFS(A2:A15,"R",D2:D15,"&gt;2000",C2:C15,"&lt;4")</f>
        <v>1</v>
      </c>
    </row>
    <row r="20" spans="1:2">
      <c r="A20" s="10" t="s">
        <v>34</v>
      </c>
      <c r="B20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2026-02-19T18:10:35Z</dcterms:created>
  <dcterms:modified xsi:type="dcterms:W3CDTF">2026-02-19T23:15:53Z</dcterms:modified>
  <cp:category/>
  <cp:contentStatus/>
</cp:coreProperties>
</file>