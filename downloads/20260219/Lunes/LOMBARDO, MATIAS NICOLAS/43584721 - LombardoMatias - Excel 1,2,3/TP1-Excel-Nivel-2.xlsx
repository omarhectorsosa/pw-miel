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30" documentId="11_9248B46DC1CBB2E3ED7FF6F9903E8C1851038383" xr6:coauthVersionLast="47" xr6:coauthVersionMax="47" xr10:uidLastSave="{0E5EB53F-58E9-4610-B1E2-F2C351DB8EAF}"/>
  <bookViews>
    <workbookView xWindow="240" yWindow="105" windowWidth="14805" windowHeight="8010" firstSheet="2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5" i="1"/>
  <c r="C6" i="1"/>
  <c r="C13" i="1"/>
  <c r="C8" i="1"/>
  <c r="C11" i="1"/>
  <c r="C10" i="1"/>
  <c r="C12" i="1"/>
  <c r="C7" i="1"/>
  <c r="C5" i="1"/>
  <c r="C16" i="1"/>
  <c r="C15" i="1"/>
  <c r="C14" i="1"/>
  <c r="C9" i="1"/>
  <c r="I11" i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F11" i="1"/>
  <c r="F10" i="1"/>
  <c r="F9" i="1"/>
  <c r="F5" i="1"/>
  <c r="F13" i="1"/>
  <c r="F8" i="1"/>
  <c r="F7" i="1"/>
  <c r="F6" i="1"/>
  <c r="F16" i="1"/>
  <c r="F15" i="1"/>
  <c r="F14" i="1"/>
  <c r="F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<sst xmlns="http://schemas.openxmlformats.org/spreadsheetml/2006/main" count="48" uniqueCount="33">
  <si>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</si>
  <si>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</si>
  <si>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</si>
  <si>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</si>
  <si>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</si>
  <si>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</si>
  <si>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</si>
  <si>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</si>
  <si>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Publicación de las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</si>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</sst>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2:L16"/>
  <sheetViews>
    <sheetView tabSelected="1" workbookViewId="0">
      <selection activeCell="I17" sqref="I17"/>
    </sheetView>
  </sheetViews>
  <sheetFormatPr defaultRowHeight="15"/>
  <cols>
    <col min="1" max="1" width="7.7109375" customWidth="1"/>
    <col min="2" max="2" width="19" customWidth="1"/>
    <col min="3" max="3" width="18.140625" customWidth="1"/>
    <col min="4" max="4" width="13" customWidth="1"/>
    <col min="5" max="5" width="11.28515625" customWidth="1"/>
    <col min="6" max="6" width="17" customWidth="1"/>
    <col min="7" max="7" width="14.42578125" customWidth="1"/>
    <col min="8" max="8" width="24.140625" customWidth="1"/>
    <col min="9" max="9" width="15" customWidth="1"/>
    <col min="12" max="12" width="11.140625" bestFit="1" customWidth="1"/>
  </cols>
  <sheetData>
    <row r="2" spans="1:12">
      <c r="A2" s="5" t="s">
        <v>0</v>
      </c>
      <c r="B2" s="5"/>
      <c r="C2" s="5"/>
      <c r="D2" s="5"/>
      <c r="E2" s="5"/>
      <c r="F2" s="5"/>
      <c r="G2" s="5"/>
      <c r="H2" s="5"/>
      <c r="I2" s="5"/>
    </row>
    <row r="4" spans="1:12" ht="57.7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12">
      <c r="A5" s="6">
        <v>1010</v>
      </c>
      <c r="B5" s="10" t="str">
        <f>VLOOKUP(A5,Materias!$B$3:$D$15,2,FALSE)</f>
        <v>Derecho Publico</v>
      </c>
      <c r="C5" s="10" t="str">
        <f>VLOOKUP(VLOOKUP($A5,Materias!$B$3:$D$15,3,FALSE),Departamentos!$B$3:$D$7,2,0)</f>
        <v>Derecho</v>
      </c>
      <c r="D5" s="8">
        <v>42569</v>
      </c>
      <c r="E5" s="6">
        <v>202</v>
      </c>
      <c r="F5" s="10" t="str">
        <f>IF($E5&lt;150,"BAJA",IF($E5&lt;200,"NORMAL","ALTA"))</f>
        <v>ALTA</v>
      </c>
      <c r="G5" s="7">
        <f>IF(AND($E5&lt;180,$D5&gt;DATE(2016,7,15)),805,812)</f>
        <v>812</v>
      </c>
      <c r="H5" s="9">
        <f>$D5+ROUNDUP($E5/10,0)</f>
        <v>42590</v>
      </c>
      <c r="I5" s="7">
        <f>E5*VLOOKUP(VLOOKUP(Inscripciones!A9,Materias!$B$3:$D$15,3,FALSE),Departamentos!$B$3:$D$7,3,0)</f>
        <v>50500</v>
      </c>
      <c r="L5" s="3"/>
    </row>
    <row r="6" spans="1:12">
      <c r="A6" s="6">
        <v>1280</v>
      </c>
      <c r="B6" s="10" t="str">
        <f>VLOOKUP(A6,Materias!$B$3:$D$15,2,FALSE)</f>
        <v>Derecho Penal</v>
      </c>
      <c r="C6" s="10" t="str">
        <f>VLOOKUP(VLOOKUP($A6,Materias!$B$3:$D$15,3,FALSE),Departamentos!$B$3:$D$7,2,0)</f>
        <v>Derecho</v>
      </c>
      <c r="D6" s="8">
        <v>42572</v>
      </c>
      <c r="E6" s="6">
        <v>168</v>
      </c>
      <c r="F6" s="10" t="str">
        <f>IF($E6&lt;150,"BAJA",IF($E6&lt;200,"NORMAL","ALTA"))</f>
        <v>NORMAL</v>
      </c>
      <c r="G6" s="7">
        <f t="shared" ref="G6:G16" si="0">IF(AND($E6&lt;180,$D6&gt;DATE(2016,7,15)),805,812)</f>
        <v>805</v>
      </c>
      <c r="H6" s="9">
        <f>$D6+ROUNDUP($E6/10,0)</f>
        <v>42589</v>
      </c>
      <c r="I6" s="7">
        <f>E6*VLOOKUP(VLOOKUP(Inscripciones!A13,Materias!$B$3:$D$15,3,FALSE),Departamentos!$B$3:$D$7,3,0)</f>
        <v>30240</v>
      </c>
    </row>
    <row r="7" spans="1:12">
      <c r="A7" s="6">
        <v>1420</v>
      </c>
      <c r="B7" s="10" t="str">
        <f>VLOOKUP(A7,Materias!$B$3:$D$15,2,FALSE)</f>
        <v>Derecho Civil</v>
      </c>
      <c r="C7" s="10" t="str">
        <f>VLOOKUP(VLOOKUP($A7,Materias!$B$3:$D$15,3,FALSE),Departamentos!$B$3:$D$7,2,0)</f>
        <v>Derecho</v>
      </c>
      <c r="D7" s="8">
        <v>42564</v>
      </c>
      <c r="E7" s="6">
        <v>136</v>
      </c>
      <c r="F7" s="10" t="str">
        <f>IF($E7&lt;150,"BAJA",IF($E7&lt;200,"NORMAL","ALTA"))</f>
        <v>BAJA</v>
      </c>
      <c r="G7" s="7">
        <f t="shared" si="0"/>
        <v>812</v>
      </c>
      <c r="H7" s="9">
        <f>$D7+ROUNDUP($E7/10,0)</f>
        <v>42578</v>
      </c>
      <c r="I7" s="7">
        <f>E7*VLOOKUP(VLOOKUP(Inscripciones!A12,Materias!$B$3:$D$15,3,FALSE),Departamentos!$B$3:$D$7,3,0)</f>
        <v>24480</v>
      </c>
    </row>
    <row r="8" spans="1:12">
      <c r="A8" s="6">
        <v>1300</v>
      </c>
      <c r="B8" s="10" t="str">
        <f>VLOOKUP(A8,Materias!$B$3:$D$15,2,FALSE)</f>
        <v>Ingles I</v>
      </c>
      <c r="C8" s="10" t="str">
        <f>VLOOKUP(VLOOKUP($A8,Materias!$B$3:$D$15,3,FALSE),Departamentos!$B$3:$D$7,2,0)</f>
        <v>Económicas</v>
      </c>
      <c r="D8" s="8">
        <v>42578</v>
      </c>
      <c r="E8" s="6">
        <v>215</v>
      </c>
      <c r="F8" s="10" t="str">
        <f>IF($E8&lt;150,"BAJA",IF($E8&lt;200,"NORMAL","ALTA"))</f>
        <v>ALTA</v>
      </c>
      <c r="G8" s="7">
        <f t="shared" si="0"/>
        <v>812</v>
      </c>
      <c r="H8" s="9">
        <f>$D8+ROUNDUP($E8/10,0)</f>
        <v>42600</v>
      </c>
      <c r="I8" s="7">
        <f>E8*VLOOKUP(VLOOKUP(Inscripciones!A11,Materias!$B$3:$D$15,3,FALSE),Departamentos!$B$3:$D$7,3,0)</f>
        <v>53750</v>
      </c>
    </row>
    <row r="9" spans="1:12">
      <c r="A9" s="6">
        <v>1250</v>
      </c>
      <c r="B9" s="10" t="str">
        <f>VLOOKUP(A9,Materias!$B$3:$D$15,2,FALSE)</f>
        <v>Computacion II</v>
      </c>
      <c r="C9" s="10" t="str">
        <f>VLOOKUP(VLOOKUP($A9,Materias!$B$3:$D$15,3,FALSE),Departamentos!$B$3:$D$7,2,0)</f>
        <v>Económicas</v>
      </c>
      <c r="D9" s="8">
        <v>42558</v>
      </c>
      <c r="E9" s="6">
        <v>196</v>
      </c>
      <c r="F9" s="10" t="str">
        <f>IF($E9&lt;150,"BAJA",IF($E9&lt;200,"NORMAL","ALTA"))</f>
        <v>NORMAL</v>
      </c>
      <c r="G9" s="7">
        <f t="shared" si="0"/>
        <v>812</v>
      </c>
      <c r="H9" s="9">
        <f>$D9+ROUNDUP($E9/10,0)</f>
        <v>42578</v>
      </c>
      <c r="I9" s="7">
        <f>E9*VLOOKUP(VLOOKUP(Inscripciones!A8,Materias!$B$3:$D$15,3,FALSE),Departamentos!$B$3:$D$7,3,0)</f>
        <v>49000</v>
      </c>
    </row>
    <row r="10" spans="1:12">
      <c r="A10" s="6">
        <v>1150</v>
      </c>
      <c r="B10" s="10" t="str">
        <f>VLOOKUP(A10,Materias!$B$3:$D$15,2,FALSE)</f>
        <v>Computacion I</v>
      </c>
      <c r="C10" s="10" t="str">
        <f>VLOOKUP(VLOOKUP($A10,Materias!$B$3:$D$15,3,FALSE),Departamentos!$B$3:$D$7,2,0)</f>
        <v>Económicas</v>
      </c>
      <c r="D10" s="8">
        <v>42562</v>
      </c>
      <c r="E10" s="6">
        <v>175</v>
      </c>
      <c r="F10" s="10" t="str">
        <f>IF($E10&lt;150,"BAJA",IF($E10&lt;200,"NORMAL","ALTA"))</f>
        <v>NORMAL</v>
      </c>
      <c r="G10" s="7">
        <f t="shared" si="0"/>
        <v>812</v>
      </c>
      <c r="H10" s="9">
        <f>$D10+ROUNDUP($E10/10,0)</f>
        <v>42580</v>
      </c>
      <c r="I10" s="7">
        <f>E10*VLOOKUP(VLOOKUP(Inscripciones!A7,Materias!$B$3:$D$15,3,FALSE),Departamentos!$B$3:$D$7,3,0)</f>
        <v>38500</v>
      </c>
    </row>
    <row r="11" spans="1:12">
      <c r="A11" s="6">
        <v>1200</v>
      </c>
      <c r="B11" s="10" t="str">
        <f>VLOOKUP(A11,Materias!$B$3:$D$15,2,FALSE)</f>
        <v>Estadistica</v>
      </c>
      <c r="C11" s="10" t="str">
        <f>VLOOKUP(VLOOKUP($A11,Materias!$B$3:$D$15,3,FALSE),Departamentos!$B$3:$D$7,2,0)</f>
        <v>Económicas</v>
      </c>
      <c r="D11" s="8">
        <v>42571</v>
      </c>
      <c r="E11" s="6">
        <v>158</v>
      </c>
      <c r="F11" s="10" t="str">
        <f>IF($E11&lt;150,"BAJA",IF($E11&lt;200,"NORMAL","ALTA"))</f>
        <v>NORMAL</v>
      </c>
      <c r="G11" s="7">
        <f t="shared" si="0"/>
        <v>805</v>
      </c>
      <c r="H11" s="9">
        <f>$D11+ROUNDUP($E11/10,0)</f>
        <v>42587</v>
      </c>
      <c r="I11" s="7">
        <f>E11*VLOOKUP(VLOOKUP(Inscripciones!A6,Materias!$B$3:$D$15,3,FALSE),Departamentos!$B$3:$D$7,3,0)</f>
        <v>34760</v>
      </c>
    </row>
    <row r="12" spans="1:12">
      <c r="A12" s="7">
        <v>1120</v>
      </c>
      <c r="B12" s="10" t="str">
        <f>VLOOKUP(A12,Materias!$B$3:$D$15,2,FALSE)</f>
        <v>Analisis Matematico</v>
      </c>
      <c r="C12" s="10" t="str">
        <f>VLOOKUP(VLOOKUP($A12,Materias!$B$3:$D$15,3,FALSE),Departamentos!$B$3:$D$7,2,0)</f>
        <v>Ingeniería</v>
      </c>
      <c r="D12" s="9">
        <v>42566</v>
      </c>
      <c r="E12" s="7">
        <v>232</v>
      </c>
      <c r="F12" s="10" t="str">
        <f>IF($E12&lt;150,"BAJA",IF($E12&lt;200,"NORMAL","ALTA"))</f>
        <v>ALTA</v>
      </c>
      <c r="G12" s="7">
        <f t="shared" si="0"/>
        <v>812</v>
      </c>
      <c r="H12" s="9">
        <f>$D12+ROUNDUP($E12/10,0)</f>
        <v>42590</v>
      </c>
      <c r="I12" s="7">
        <f>E12*VLOOKUP(VLOOKUP(Inscripciones!A5,Materias!$B$3:$D$15,3,FALSE),Departamentos!$B$3:$D$7,3,0)</f>
        <v>51040</v>
      </c>
    </row>
    <row r="13" spans="1:12" ht="29.25">
      <c r="A13" s="6">
        <v>1080</v>
      </c>
      <c r="B13" s="10" t="str">
        <f>VLOOKUP(A13,Materias!$B$3:$D$15,2,FALSE)</f>
        <v>Sistemas Operativos I</v>
      </c>
      <c r="C13" s="10" t="str">
        <f>VLOOKUP(VLOOKUP($A13,Materias!$B$3:$D$15,3,FALSE),Departamentos!$B$3:$D$7,2,0)</f>
        <v>Ingeniería</v>
      </c>
      <c r="D13" s="8">
        <v>42574</v>
      </c>
      <c r="E13" s="6">
        <v>141</v>
      </c>
      <c r="F13" s="10" t="str">
        <f>IF($E13&lt;150,"BAJA",IF($E13&lt;200,"NORMAL","ALTA"))</f>
        <v>BAJA</v>
      </c>
      <c r="G13" s="7">
        <f t="shared" si="0"/>
        <v>805</v>
      </c>
      <c r="H13" s="9">
        <f>$D13+ROUNDUP($E13/10,0)</f>
        <v>42589</v>
      </c>
      <c r="I13" s="7">
        <f>E13*VLOOKUP(VLOOKUP(Inscripciones!A10,Materias!$B$3:$D$15,3,FALSE),Departamentos!$B$3:$D$7,3,0)</f>
        <v>35250</v>
      </c>
    </row>
    <row r="14" spans="1:12">
      <c r="A14" s="6">
        <v>1860</v>
      </c>
      <c r="B14" s="10" t="str">
        <f>VLOOKUP(A14,Materias!$B$3:$D$15,2,FALSE)</f>
        <v>Enfermeria</v>
      </c>
      <c r="C14" s="10" t="str">
        <f>VLOOKUP(VLOOKUP($A14,Materias!$B$3:$D$15,3,FALSE),Departamentos!$B$3:$D$7,2,0)</f>
        <v>Medicina</v>
      </c>
      <c r="D14" s="8">
        <v>42575</v>
      </c>
      <c r="E14" s="6">
        <v>171</v>
      </c>
      <c r="F14" s="10" t="str">
        <f>IF($E14&lt;150,"BAJA",IF($E14&lt;200,"NORMAL","ALTA"))</f>
        <v>NORMAL</v>
      </c>
      <c r="G14" s="7">
        <f t="shared" si="0"/>
        <v>805</v>
      </c>
      <c r="H14" s="9">
        <f>$D14+ROUNDUP($E14/10,0)</f>
        <v>42593</v>
      </c>
      <c r="I14" s="7">
        <f>E14*VLOOKUP(VLOOKUP(Inscripciones!A16,Materias!$B$3:$D$15,3,FALSE),Departamentos!$B$3:$D$7,3,0)</f>
        <v>51300</v>
      </c>
    </row>
    <row r="15" spans="1:12">
      <c r="A15" s="6">
        <v>1850</v>
      </c>
      <c r="B15" s="10" t="str">
        <f>VLOOKUP(A15,Materias!$B$3:$D$15,2,FALSE)</f>
        <v>Biologia I</v>
      </c>
      <c r="C15" s="10" t="str">
        <f>VLOOKUP(VLOOKUP($A15,Materias!$B$3:$D$15,3,FALSE),Departamentos!$B$3:$D$7,2,0)</f>
        <v>Medicina</v>
      </c>
      <c r="D15" s="8">
        <v>42574</v>
      </c>
      <c r="E15" s="6">
        <v>170</v>
      </c>
      <c r="F15" s="10" t="str">
        <f>IF($E15&lt;150,"BAJA",IF($E15&lt;200,"NORMAL","ALTA"))</f>
        <v>NORMAL</v>
      </c>
      <c r="G15" s="7">
        <f t="shared" si="0"/>
        <v>805</v>
      </c>
      <c r="H15" s="9">
        <f>$D15+ROUNDUP($E15/10,0)</f>
        <v>42591</v>
      </c>
      <c r="I15" s="7">
        <f>E15*VLOOKUP(VLOOKUP(Inscripciones!A15,Materias!$B$3:$D$15,3,FALSE),Departamentos!$B$3:$D$7,3,0)</f>
        <v>51000</v>
      </c>
    </row>
    <row r="16" spans="1:12">
      <c r="A16" s="6">
        <v>1825</v>
      </c>
      <c r="B16" s="10" t="str">
        <f>VLOOKUP(A16,Materias!$B$3:$D$15,2,FALSE)</f>
        <v>Anatomia I</v>
      </c>
      <c r="C16" s="10" t="str">
        <f>VLOOKUP(VLOOKUP($A16,Materias!$B$3:$D$15,3,FALSE),Departamentos!$B$3:$D$7,2,0)</f>
        <v>Medicina</v>
      </c>
      <c r="D16" s="8">
        <v>42573</v>
      </c>
      <c r="E16" s="6">
        <v>169</v>
      </c>
      <c r="F16" s="10" t="str">
        <f>IF($E16&lt;150,"BAJA",IF($E16&lt;200,"NORMAL","ALTA"))</f>
        <v>NORMAL</v>
      </c>
      <c r="G16" s="7">
        <f t="shared" si="0"/>
        <v>805</v>
      </c>
      <c r="H16" s="9">
        <f>$D16+ROUNDUP($E16/10,0)</f>
        <v>42590</v>
      </c>
      <c r="I16" s="7">
        <f>E16*VLOOKUP(VLOOKUP(Inscripciones!A14,Materias!$B$3:$D$15,3,FALSE),Departamentos!$B$3:$D$7,3,0)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8EE5-5FE8-45AE-8571-99450018F49F}">
  <sheetPr>
    <tabColor rgb="FFFFC000"/>
  </sheetPr>
  <dimension ref="B3:D15"/>
  <sheetViews>
    <sheetView workbookViewId="0"/>
  </sheetViews>
  <sheetFormatPr defaultRowHeight="15"/>
  <cols>
    <col min="3" max="3" width="19.42578125" bestFit="1" customWidth="1"/>
  </cols>
  <sheetData>
    <row r="3" spans="2:4" ht="43.5">
      <c r="B3" s="1" t="s">
        <v>10</v>
      </c>
      <c r="C3" s="1" t="s">
        <v>2</v>
      </c>
      <c r="D3" t="s">
        <v>11</v>
      </c>
    </row>
    <row r="4" spans="2:4">
      <c r="B4" s="2">
        <v>1010</v>
      </c>
      <c r="C4" s="2" t="s">
        <v>12</v>
      </c>
      <c r="D4" t="s">
        <v>13</v>
      </c>
    </row>
    <row r="5" spans="2:4">
      <c r="B5" s="2">
        <v>1280</v>
      </c>
      <c r="C5" s="2" t="s">
        <v>14</v>
      </c>
      <c r="D5" t="s">
        <v>13</v>
      </c>
    </row>
    <row r="6" spans="2:4">
      <c r="B6" s="2">
        <v>1420</v>
      </c>
      <c r="C6" s="2" t="s">
        <v>15</v>
      </c>
      <c r="D6" t="s">
        <v>13</v>
      </c>
    </row>
    <row r="7" spans="2:4">
      <c r="B7" s="2">
        <v>1080</v>
      </c>
      <c r="C7" s="2" t="s">
        <v>16</v>
      </c>
      <c r="D7" t="s">
        <v>17</v>
      </c>
    </row>
    <row r="8" spans="2:4">
      <c r="B8" s="2">
        <v>1120</v>
      </c>
      <c r="C8" s="2" t="s">
        <v>18</v>
      </c>
      <c r="D8" t="s">
        <v>17</v>
      </c>
    </row>
    <row r="9" spans="2:4">
      <c r="B9" s="2">
        <v>1150</v>
      </c>
      <c r="C9" s="2" t="s">
        <v>19</v>
      </c>
      <c r="D9" t="s">
        <v>20</v>
      </c>
    </row>
    <row r="10" spans="2:4">
      <c r="B10" s="2">
        <v>1200</v>
      </c>
      <c r="C10" s="2" t="s">
        <v>21</v>
      </c>
      <c r="D10" t="s">
        <v>20</v>
      </c>
    </row>
    <row r="11" spans="2:4">
      <c r="B11" s="2">
        <v>1250</v>
      </c>
      <c r="C11" s="2" t="s">
        <v>22</v>
      </c>
      <c r="D11" t="s">
        <v>20</v>
      </c>
    </row>
    <row r="12" spans="2:4">
      <c r="B12" s="2">
        <v>1300</v>
      </c>
      <c r="C12" s="2" t="s">
        <v>23</v>
      </c>
      <c r="D12" t="s">
        <v>20</v>
      </c>
    </row>
    <row r="13" spans="2:4">
      <c r="B13" s="2">
        <v>1825</v>
      </c>
      <c r="C13" s="2" t="s">
        <v>24</v>
      </c>
      <c r="D13" t="s">
        <v>25</v>
      </c>
    </row>
    <row r="14" spans="2:4">
      <c r="B14" s="2">
        <v>1850</v>
      </c>
      <c r="C14" s="2" t="s">
        <v>26</v>
      </c>
      <c r="D14" t="s">
        <v>25</v>
      </c>
    </row>
    <row r="15" spans="2:4">
      <c r="B15" s="2">
        <v>1860</v>
      </c>
      <c r="C15" s="2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C913-542B-4F27-B5ED-ECC0B328D290}">
  <sheetPr>
    <tabColor rgb="FF00B050"/>
  </sheetPr>
  <dimension ref="B3:D7"/>
  <sheetViews>
    <sheetView workbookViewId="0">
      <selection activeCell="C7" sqref="C7"/>
    </sheetView>
  </sheetViews>
  <sheetFormatPr defaultRowHeight="15"/>
  <cols>
    <col min="2" max="2" width="13.85546875" customWidth="1"/>
    <col min="3" max="3" width="12.85546875" customWidth="1"/>
    <col min="4" max="4" width="11.7109375" customWidth="1"/>
  </cols>
  <sheetData>
    <row r="3" spans="2:4" ht="57.75">
      <c r="B3" s="1" t="s">
        <v>11</v>
      </c>
      <c r="C3" s="2" t="s">
        <v>3</v>
      </c>
      <c r="D3" s="2" t="s">
        <v>28</v>
      </c>
    </row>
    <row r="4" spans="2:4">
      <c r="B4" s="2" t="s">
        <v>13</v>
      </c>
      <c r="C4" s="2" t="s">
        <v>29</v>
      </c>
      <c r="D4" s="2">
        <v>220</v>
      </c>
    </row>
    <row r="5" spans="2:4">
      <c r="B5" s="2" t="s">
        <v>17</v>
      </c>
      <c r="C5" s="2" t="s">
        <v>30</v>
      </c>
      <c r="D5" s="2">
        <v>180</v>
      </c>
    </row>
    <row r="6" spans="2:4">
      <c r="B6" s="2" t="s">
        <v>20</v>
      </c>
      <c r="C6" s="2" t="s">
        <v>31</v>
      </c>
      <c r="D6" s="2">
        <v>250</v>
      </c>
    </row>
    <row r="7" spans="2:4">
      <c r="B7" s="2" t="s">
        <v>25</v>
      </c>
      <c r="C7" s="2" t="s">
        <v>32</v>
      </c>
      <c r="D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LOMBARDO MATIAS NICOLAS</cp:lastModifiedBy>
  <cp:revision/>
  <dcterms:created xsi:type="dcterms:W3CDTF">2026-02-16T21:17:56Z</dcterms:created>
  <dcterms:modified xsi:type="dcterms:W3CDTF">2026-02-16T23:09:55Z</dcterms:modified>
  <cp:category/>
  <cp:contentStatus/>
</cp:coreProperties>
</file>