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342B153D-B068-46B0-8CFF-5A2A8B4E86B7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Hoja 1" sheetId="1" r:id="rId1"/>
    <sheet name="Hoja 2" sheetId="2" r:id="rId2"/>
    <sheet name="Hoja 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B19" i="3"/>
  <c r="B18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3" i="2"/>
  <c r="E2" i="2"/>
  <c r="E14" i="2"/>
  <c r="E15" i="2"/>
  <c r="E12" i="2"/>
  <c r="E4" i="2"/>
  <c r="E7" i="2"/>
  <c r="E8" i="2"/>
  <c r="E9" i="2"/>
  <c r="E5" i="2"/>
  <c r="E6" i="2"/>
  <c r="E11" i="2"/>
  <c r="E3" i="2"/>
  <c r="E10" i="2"/>
  <c r="A20" i="1"/>
  <c r="A19" i="1"/>
  <c r="A18" i="1"/>
  <c r="A1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<sst xmlns="http://schemas.openxmlformats.org/spreadsheetml/2006/main" count="129" uniqueCount="30">
  <si>
    <t>CODIGO</t>
  </si>
  <si>
    <t>DESCRIPCION</t>
  </si>
  <si>
    <t>CANTIDAD</t>
  </si>
  <si>
    <t>PRECIO UNIT.</t>
  </si>
  <si>
    <t>TOTAL</t>
  </si>
  <si>
    <t>T</t>
  </si>
  <si>
    <t>Televisor 32"</t>
  </si>
  <si>
    <t>C</t>
  </si>
  <si>
    <t>Cocina 4 hornallas</t>
  </si>
  <si>
    <t>Televisor 42" LED</t>
  </si>
  <si>
    <t>H</t>
  </si>
  <si>
    <t>Heladera 12 pies con freezer</t>
  </si>
  <si>
    <t>Freezer carga superior</t>
  </si>
  <si>
    <t>R</t>
  </si>
  <si>
    <t>Radio onda corta</t>
  </si>
  <si>
    <t>Radio con cd y mp3</t>
  </si>
  <si>
    <t>Radio am/fm 3 bandas</t>
  </si>
  <si>
    <t>Cocina industrial 6 hornallas</t>
  </si>
  <si>
    <t>Televisor 42" LED 3D</t>
  </si>
  <si>
    <t>V</t>
  </si>
  <si>
    <t>Ventilador 25" giratorio</t>
  </si>
  <si>
    <t>Aire Acondicionado F/c</t>
  </si>
  <si>
    <t>Anafe 2 hornallas</t>
  </si>
  <si>
    <t>TV Portatil 12V</t>
  </si>
  <si>
    <t>&gt;=5</t>
  </si>
  <si>
    <t>&gt;4</t>
  </si>
  <si>
    <t>&lt;9</t>
  </si>
  <si>
    <t>Importe Total</t>
  </si>
  <si>
    <t>Contar Productos</t>
  </si>
  <si>
    <t>Promedio de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</si>
</sst>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opLeftCell="A10" workbookViewId="0">
      <selection activeCell="E20" sqref="E20"/>
    </sheetView>
  </sheetViews>
  <sheetFormatPr defaultRowHeight="15"/>
  <cols>
    <col min="1" max="1" width="10" customWidth="1"/>
    <col min="2" max="2" width="25.28515625" bestFit="1" customWidth="1"/>
    <col min="3" max="3" width="10.28515625" bestFit="1" customWidth="1"/>
    <col min="4" max="4" width="16.140625" customWidth="1"/>
    <col min="5" max="5" width="16.85546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>
        <v>12</v>
      </c>
      <c r="D2" s="3">
        <v>6500</v>
      </c>
      <c r="E2" s="3">
        <f>PRODUCT($C2,$D2)</f>
        <v>78000</v>
      </c>
    </row>
    <row r="3" spans="1:5">
      <c r="A3" s="2" t="s">
        <v>7</v>
      </c>
      <c r="B3" s="2" t="s">
        <v>8</v>
      </c>
      <c r="C3" s="2">
        <v>10</v>
      </c>
      <c r="D3" s="3">
        <v>4800</v>
      </c>
      <c r="E3" s="3">
        <f t="shared" ref="E3:E15" si="0">PRODUCT($C3,$D3)</f>
        <v>48000</v>
      </c>
    </row>
    <row r="4" spans="1:5">
      <c r="A4" s="2" t="s">
        <v>5</v>
      </c>
      <c r="B4" s="2" t="s">
        <v>9</v>
      </c>
      <c r="C4" s="2">
        <v>8</v>
      </c>
      <c r="D4" s="3">
        <v>7800</v>
      </c>
      <c r="E4" s="3">
        <f t="shared" si="0"/>
        <v>62400</v>
      </c>
    </row>
    <row r="5" spans="1:5">
      <c r="A5" s="2" t="s">
        <v>10</v>
      </c>
      <c r="B5" s="2" t="s">
        <v>11</v>
      </c>
      <c r="C5" s="2">
        <v>7</v>
      </c>
      <c r="D5" s="3">
        <v>8500</v>
      </c>
      <c r="E5" s="3">
        <f t="shared" si="0"/>
        <v>59500</v>
      </c>
    </row>
    <row r="6" spans="1:5">
      <c r="A6" s="2" t="s">
        <v>10</v>
      </c>
      <c r="B6" s="2" t="s">
        <v>12</v>
      </c>
      <c r="C6" s="2">
        <v>4</v>
      </c>
      <c r="D6" s="3">
        <v>5000</v>
      </c>
      <c r="E6" s="3">
        <f t="shared" si="0"/>
        <v>20000</v>
      </c>
    </row>
    <row r="7" spans="1:5">
      <c r="A7" s="2" t="s">
        <v>13</v>
      </c>
      <c r="B7" s="2" t="s">
        <v>14</v>
      </c>
      <c r="C7" s="2">
        <v>4</v>
      </c>
      <c r="D7" s="3">
        <v>1800</v>
      </c>
      <c r="E7" s="3">
        <f t="shared" si="0"/>
        <v>7200</v>
      </c>
    </row>
    <row r="8" spans="1:5">
      <c r="A8" s="2" t="s">
        <v>13</v>
      </c>
      <c r="B8" s="2" t="s">
        <v>15</v>
      </c>
      <c r="C8" s="2">
        <v>3</v>
      </c>
      <c r="D8" s="3">
        <v>2600</v>
      </c>
      <c r="E8" s="3">
        <f t="shared" si="0"/>
        <v>7800</v>
      </c>
    </row>
    <row r="9" spans="1:5">
      <c r="A9" s="2" t="s">
        <v>13</v>
      </c>
      <c r="B9" s="2" t="s">
        <v>16</v>
      </c>
      <c r="C9" s="2">
        <v>5</v>
      </c>
      <c r="D9" s="3">
        <v>1200</v>
      </c>
      <c r="E9" s="3">
        <f t="shared" si="0"/>
        <v>6000</v>
      </c>
    </row>
    <row r="10" spans="1:5">
      <c r="A10" s="2" t="s">
        <v>7</v>
      </c>
      <c r="B10" s="2" t="s">
        <v>17</v>
      </c>
      <c r="C10" s="2">
        <v>2</v>
      </c>
      <c r="D10" s="3">
        <v>9400</v>
      </c>
      <c r="E10" s="3">
        <f t="shared" si="0"/>
        <v>18800</v>
      </c>
    </row>
    <row r="11" spans="1:5">
      <c r="A11" s="2" t="s">
        <v>5</v>
      </c>
      <c r="B11" s="2" t="s">
        <v>18</v>
      </c>
      <c r="C11" s="2">
        <v>8</v>
      </c>
      <c r="D11" s="3">
        <v>12000</v>
      </c>
      <c r="E11" s="3">
        <f t="shared" si="0"/>
        <v>96000</v>
      </c>
    </row>
    <row r="12" spans="1:5">
      <c r="A12" s="2" t="s">
        <v>19</v>
      </c>
      <c r="B12" s="2" t="s">
        <v>20</v>
      </c>
      <c r="C12" s="2">
        <v>6</v>
      </c>
      <c r="D12" s="3">
        <v>2500</v>
      </c>
      <c r="E12" s="3">
        <f t="shared" si="0"/>
        <v>15000</v>
      </c>
    </row>
    <row r="13" spans="1:5">
      <c r="A13" s="2" t="s">
        <v>19</v>
      </c>
      <c r="B13" s="2" t="s">
        <v>21</v>
      </c>
      <c r="C13" s="2">
        <v>6</v>
      </c>
      <c r="D13" s="3">
        <v>6500</v>
      </c>
      <c r="E13" s="3">
        <f t="shared" si="0"/>
        <v>39000</v>
      </c>
    </row>
    <row r="14" spans="1:5">
      <c r="A14" s="2" t="s">
        <v>7</v>
      </c>
      <c r="B14" s="2" t="s">
        <v>22</v>
      </c>
      <c r="C14" s="2">
        <v>2</v>
      </c>
      <c r="D14" s="3">
        <v>2400</v>
      </c>
      <c r="E14" s="3">
        <f t="shared" si="0"/>
        <v>4800</v>
      </c>
    </row>
    <row r="15" spans="1:5">
      <c r="A15" s="2" t="s">
        <v>5</v>
      </c>
      <c r="B15" s="2" t="s">
        <v>23</v>
      </c>
      <c r="C15" s="2">
        <v>1</v>
      </c>
      <c r="D15" s="3">
        <v>1800</v>
      </c>
      <c r="E15" s="3">
        <f t="shared" si="0"/>
        <v>1800</v>
      </c>
    </row>
    <row r="17" spans="1:5">
      <c r="A17">
        <f>DMAX(A1:E15,4,A25:E26)</f>
        <v>8500</v>
      </c>
    </row>
    <row r="18" spans="1:5">
      <c r="A18">
        <f>DSUM(A1:E15,5,A30:E31)</f>
        <v>6000</v>
      </c>
    </row>
    <row r="19" spans="1:5">
      <c r="A19">
        <f>DGET(A1:E15,4,A35:E36)</f>
        <v>1800</v>
      </c>
    </row>
    <row r="20" spans="1:5">
      <c r="A20">
        <f>DCOUNTA(A1:E15,2,A40:F41)</f>
        <v>6</v>
      </c>
    </row>
    <row r="25" spans="1:5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</row>
    <row r="26" spans="1:5">
      <c r="A26" t="s">
        <v>10</v>
      </c>
    </row>
    <row r="30" spans="1:5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</row>
    <row r="31" spans="1:5">
      <c r="A31" t="s">
        <v>13</v>
      </c>
      <c r="C31" t="s">
        <v>24</v>
      </c>
    </row>
    <row r="35" spans="1:6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</row>
    <row r="36" spans="1:6">
      <c r="B36" t="s">
        <v>14</v>
      </c>
    </row>
    <row r="40" spans="1:6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  <c r="F40" s="1" t="s">
        <v>2</v>
      </c>
    </row>
    <row r="41" spans="1:6">
      <c r="C41" t="s">
        <v>25</v>
      </c>
      <c r="F4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D1500-3F02-419F-8EC4-1318D68CE269}">
  <dimension ref="A1:E15"/>
  <sheetViews>
    <sheetView tabSelected="1" workbookViewId="0">
      <selection activeCell="I18" sqref="I18"/>
    </sheetView>
  </sheetViews>
  <sheetFormatPr defaultRowHeight="15"/>
  <cols>
    <col min="2" max="2" width="25.28515625" bestFit="1" customWidth="1"/>
    <col min="4" max="4" width="12.85546875" bestFit="1" customWidth="1"/>
    <col min="5" max="5" width="11.42578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7</v>
      </c>
      <c r="B2" s="2" t="s">
        <v>22</v>
      </c>
      <c r="C2" s="2">
        <v>2</v>
      </c>
      <c r="D2" s="3">
        <v>2400</v>
      </c>
      <c r="E2" s="3">
        <f>PRODUCT($C2,$D2)</f>
        <v>4800</v>
      </c>
    </row>
    <row r="3" spans="1:5">
      <c r="A3" s="2" t="s">
        <v>7</v>
      </c>
      <c r="B3" s="2" t="s">
        <v>8</v>
      </c>
      <c r="C3" s="2">
        <v>10</v>
      </c>
      <c r="D3" s="3">
        <v>4800</v>
      </c>
      <c r="E3" s="3">
        <f>PRODUCT($C3,$D3)</f>
        <v>48000</v>
      </c>
    </row>
    <row r="4" spans="1:5">
      <c r="A4" s="2" t="s">
        <v>7</v>
      </c>
      <c r="B4" s="2" t="s">
        <v>17</v>
      </c>
      <c r="C4" s="2">
        <v>2</v>
      </c>
      <c r="D4" s="3">
        <v>9400</v>
      </c>
      <c r="E4" s="3">
        <f>PRODUCT($C4,$D4)</f>
        <v>18800</v>
      </c>
    </row>
    <row r="5" spans="1:5">
      <c r="A5" s="2" t="s">
        <v>10</v>
      </c>
      <c r="B5" s="2" t="s">
        <v>12</v>
      </c>
      <c r="C5" s="2">
        <v>4</v>
      </c>
      <c r="D5" s="3">
        <v>5000</v>
      </c>
      <c r="E5" s="3">
        <f>PRODUCT($C5,$D5)</f>
        <v>20000</v>
      </c>
    </row>
    <row r="6" spans="1:5">
      <c r="A6" s="2" t="s">
        <v>10</v>
      </c>
      <c r="B6" s="2" t="s">
        <v>11</v>
      </c>
      <c r="C6" s="2">
        <v>7</v>
      </c>
      <c r="D6" s="3">
        <v>8500</v>
      </c>
      <c r="E6" s="3">
        <f>PRODUCT($C6,$D6)</f>
        <v>59500</v>
      </c>
    </row>
    <row r="7" spans="1:5">
      <c r="A7" s="2" t="s">
        <v>13</v>
      </c>
      <c r="B7" s="2" t="s">
        <v>16</v>
      </c>
      <c r="C7" s="2">
        <v>5</v>
      </c>
      <c r="D7" s="3">
        <v>1200</v>
      </c>
      <c r="E7" s="3">
        <f>PRODUCT($C7,$D7)</f>
        <v>6000</v>
      </c>
    </row>
    <row r="8" spans="1:5">
      <c r="A8" s="2" t="s">
        <v>13</v>
      </c>
      <c r="B8" s="2" t="s">
        <v>15</v>
      </c>
      <c r="C8" s="2">
        <v>3</v>
      </c>
      <c r="D8" s="3">
        <v>2600</v>
      </c>
      <c r="E8" s="3">
        <f>PRODUCT($C8,$D8)</f>
        <v>7800</v>
      </c>
    </row>
    <row r="9" spans="1:5">
      <c r="A9" s="2" t="s">
        <v>13</v>
      </c>
      <c r="B9" s="2" t="s">
        <v>14</v>
      </c>
      <c r="C9" s="2">
        <v>4</v>
      </c>
      <c r="D9" s="3">
        <v>1800</v>
      </c>
      <c r="E9" s="3">
        <f>PRODUCT($C9,$D9)</f>
        <v>7200</v>
      </c>
    </row>
    <row r="10" spans="1:5">
      <c r="A10" s="2" t="s">
        <v>5</v>
      </c>
      <c r="B10" s="2" t="s">
        <v>6</v>
      </c>
      <c r="C10" s="2">
        <v>12</v>
      </c>
      <c r="D10" s="3">
        <v>6500</v>
      </c>
      <c r="E10" s="3">
        <f>PRODUCT($C10,$D10)</f>
        <v>78000</v>
      </c>
    </row>
    <row r="11" spans="1:5">
      <c r="A11" s="2" t="s">
        <v>5</v>
      </c>
      <c r="B11" s="2" t="s">
        <v>9</v>
      </c>
      <c r="C11" s="2">
        <v>8</v>
      </c>
      <c r="D11" s="3">
        <v>7800</v>
      </c>
      <c r="E11" s="3">
        <f>PRODUCT($C11,$D11)</f>
        <v>62400</v>
      </c>
    </row>
    <row r="12" spans="1:5">
      <c r="A12" s="2" t="s">
        <v>5</v>
      </c>
      <c r="B12" s="2" t="s">
        <v>18</v>
      </c>
      <c r="C12" s="2">
        <v>8</v>
      </c>
      <c r="D12" s="3">
        <v>12000</v>
      </c>
      <c r="E12" s="3">
        <f>PRODUCT($C12,$D12)</f>
        <v>96000</v>
      </c>
    </row>
    <row r="13" spans="1:5">
      <c r="A13" s="2" t="s">
        <v>5</v>
      </c>
      <c r="B13" s="2" t="s">
        <v>23</v>
      </c>
      <c r="C13" s="2">
        <v>1</v>
      </c>
      <c r="D13" s="3">
        <v>1800</v>
      </c>
      <c r="E13" s="3">
        <f>PRODUCT($C13,$D13)</f>
        <v>1800</v>
      </c>
    </row>
    <row r="14" spans="1:5">
      <c r="A14" s="2" t="s">
        <v>19</v>
      </c>
      <c r="B14" s="2" t="s">
        <v>21</v>
      </c>
      <c r="C14" s="2">
        <v>6</v>
      </c>
      <c r="D14" s="3">
        <v>6500</v>
      </c>
      <c r="E14" s="3">
        <f>PRODUCT($C14,$D14)</f>
        <v>39000</v>
      </c>
    </row>
    <row r="15" spans="1:5">
      <c r="A15" s="2" t="s">
        <v>19</v>
      </c>
      <c r="B15" s="2" t="s">
        <v>20</v>
      </c>
      <c r="C15" s="2">
        <v>6</v>
      </c>
      <c r="D15" s="3">
        <v>2500</v>
      </c>
      <c r="E15" s="3">
        <f>PRODUCT($C15,$D15)</f>
        <v>15000</v>
      </c>
    </row>
  </sheetData>
  <sortState xmlns:xlrd2="http://schemas.microsoft.com/office/spreadsheetml/2017/richdata2" ref="A2:E15">
    <sortCondition ref="A2:A15"/>
    <sortCondition ref="B2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62B3B-3439-4419-817F-CCB0A1F03A36}">
  <dimension ref="A1:E20"/>
  <sheetViews>
    <sheetView workbookViewId="0">
      <selection activeCell="B21" sqref="B21"/>
    </sheetView>
  </sheetViews>
  <sheetFormatPr defaultRowHeight="15"/>
  <cols>
    <col min="1" max="1" width="18.7109375" bestFit="1" customWidth="1"/>
    <col min="2" max="2" width="25.28515625" bestFit="1" customWidth="1"/>
    <col min="4" max="4" width="12.85546875" bestFit="1" customWidth="1"/>
    <col min="5" max="5" width="11.42578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>
        <v>12</v>
      </c>
      <c r="D2" s="3">
        <v>6500</v>
      </c>
      <c r="E2" s="3">
        <f>PRODUCT($C2,$D2)</f>
        <v>78000</v>
      </c>
    </row>
    <row r="3" spans="1:5">
      <c r="A3" s="2" t="s">
        <v>7</v>
      </c>
      <c r="B3" s="2" t="s">
        <v>8</v>
      </c>
      <c r="C3" s="2">
        <v>10</v>
      </c>
      <c r="D3" s="3">
        <v>4800</v>
      </c>
      <c r="E3" s="3">
        <f t="shared" ref="E3:E15" si="0">PRODUCT($C3,$D3)</f>
        <v>48000</v>
      </c>
    </row>
    <row r="4" spans="1:5">
      <c r="A4" s="2" t="s">
        <v>5</v>
      </c>
      <c r="B4" s="2" t="s">
        <v>9</v>
      </c>
      <c r="C4" s="2">
        <v>8</v>
      </c>
      <c r="D4" s="3">
        <v>7800</v>
      </c>
      <c r="E4" s="3">
        <f t="shared" si="0"/>
        <v>62400</v>
      </c>
    </row>
    <row r="5" spans="1:5">
      <c r="A5" s="2" t="s">
        <v>10</v>
      </c>
      <c r="B5" s="2" t="s">
        <v>11</v>
      </c>
      <c r="C5" s="2">
        <v>7</v>
      </c>
      <c r="D5" s="3">
        <v>8500</v>
      </c>
      <c r="E5" s="3">
        <f t="shared" si="0"/>
        <v>59500</v>
      </c>
    </row>
    <row r="6" spans="1:5">
      <c r="A6" s="2" t="s">
        <v>10</v>
      </c>
      <c r="B6" s="2" t="s">
        <v>12</v>
      </c>
      <c r="C6" s="2">
        <v>4</v>
      </c>
      <c r="D6" s="3">
        <v>5000</v>
      </c>
      <c r="E6" s="3">
        <f t="shared" si="0"/>
        <v>20000</v>
      </c>
    </row>
    <row r="7" spans="1:5">
      <c r="A7" s="2" t="s">
        <v>13</v>
      </c>
      <c r="B7" s="2" t="s">
        <v>14</v>
      </c>
      <c r="C7" s="2">
        <v>4</v>
      </c>
      <c r="D7" s="3">
        <v>1800</v>
      </c>
      <c r="E7" s="3">
        <f t="shared" si="0"/>
        <v>7200</v>
      </c>
    </row>
    <row r="8" spans="1:5">
      <c r="A8" s="2" t="s">
        <v>13</v>
      </c>
      <c r="B8" s="2" t="s">
        <v>15</v>
      </c>
      <c r="C8" s="2">
        <v>3</v>
      </c>
      <c r="D8" s="3">
        <v>2600</v>
      </c>
      <c r="E8" s="3">
        <f t="shared" si="0"/>
        <v>7800</v>
      </c>
    </row>
    <row r="9" spans="1:5">
      <c r="A9" s="2" t="s">
        <v>13</v>
      </c>
      <c r="B9" s="2" t="s">
        <v>16</v>
      </c>
      <c r="C9" s="2">
        <v>5</v>
      </c>
      <c r="D9" s="3">
        <v>1200</v>
      </c>
      <c r="E9" s="3">
        <f t="shared" si="0"/>
        <v>6000</v>
      </c>
    </row>
    <row r="10" spans="1:5">
      <c r="A10" s="2" t="s">
        <v>7</v>
      </c>
      <c r="B10" s="2" t="s">
        <v>17</v>
      </c>
      <c r="C10" s="2">
        <v>2</v>
      </c>
      <c r="D10" s="3">
        <v>9400</v>
      </c>
      <c r="E10" s="3">
        <f t="shared" si="0"/>
        <v>18800</v>
      </c>
    </row>
    <row r="11" spans="1:5">
      <c r="A11" s="2" t="s">
        <v>5</v>
      </c>
      <c r="B11" s="2" t="s">
        <v>18</v>
      </c>
      <c r="C11" s="2">
        <v>8</v>
      </c>
      <c r="D11" s="3">
        <v>12000</v>
      </c>
      <c r="E11" s="3">
        <f t="shared" si="0"/>
        <v>96000</v>
      </c>
    </row>
    <row r="12" spans="1:5">
      <c r="A12" s="2" t="s">
        <v>19</v>
      </c>
      <c r="B12" s="2" t="s">
        <v>20</v>
      </c>
      <c r="C12" s="2">
        <v>6</v>
      </c>
      <c r="D12" s="3">
        <v>2500</v>
      </c>
      <c r="E12" s="3">
        <f t="shared" si="0"/>
        <v>15000</v>
      </c>
    </row>
    <row r="13" spans="1:5">
      <c r="A13" s="2" t="s">
        <v>19</v>
      </c>
      <c r="B13" s="2" t="s">
        <v>21</v>
      </c>
      <c r="C13" s="2">
        <v>6</v>
      </c>
      <c r="D13" s="3">
        <v>6500</v>
      </c>
      <c r="E13" s="3">
        <f t="shared" si="0"/>
        <v>39000</v>
      </c>
    </row>
    <row r="14" spans="1:5">
      <c r="A14" s="2" t="s">
        <v>7</v>
      </c>
      <c r="B14" s="2" t="s">
        <v>22</v>
      </c>
      <c r="C14" s="2">
        <v>2</v>
      </c>
      <c r="D14" s="3">
        <v>2400</v>
      </c>
      <c r="E14" s="3">
        <f t="shared" si="0"/>
        <v>4800</v>
      </c>
    </row>
    <row r="15" spans="1:5">
      <c r="A15" s="2" t="s">
        <v>5</v>
      </c>
      <c r="B15" s="2" t="s">
        <v>23</v>
      </c>
      <c r="C15" s="2">
        <v>1</v>
      </c>
      <c r="D15" s="3">
        <v>1800</v>
      </c>
      <c r="E15" s="3">
        <f t="shared" si="0"/>
        <v>1800</v>
      </c>
    </row>
    <row r="18" spans="1:2">
      <c r="A18" t="s">
        <v>27</v>
      </c>
      <c r="B18">
        <f>SUMIFS(E2:E15,A2:A15,"C",C2:C15,"&lt;10")</f>
        <v>23600</v>
      </c>
    </row>
    <row r="19" spans="1:2">
      <c r="A19" t="s">
        <v>28</v>
      </c>
      <c r="B19">
        <f>COUNTIFS(A2:A15,"R",D2:D15,"&gt;2000",C2:C15,"&lt;4")</f>
        <v>1</v>
      </c>
    </row>
    <row r="20" spans="1:2">
      <c r="A20" t="s">
        <v>29</v>
      </c>
      <c r="B20">
        <f>AVERAGEIFS(E2:E15,B2:B15,"T*",D2:D15,"&lt;12000")</f>
        <v>47400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2026-02-19T01:02:20Z</dcterms:created>
  <dcterms:modified xsi:type="dcterms:W3CDTF">2026-02-19T01:37:24Z</dcterms:modified>
  <cp:category/>
  <cp:contentStatus/>
</cp:coreProperties>
</file>