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0BE712C5-AADD-4969-A2A0-05404C75CE1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" i="2"/>
  <c r="E14" i="2"/>
  <c r="E10" i="2"/>
  <c r="E13" i="2"/>
  <c r="E12" i="2"/>
  <c r="E11" i="2"/>
  <c r="E7" i="2"/>
  <c r="E9" i="2"/>
  <c r="E8" i="2"/>
  <c r="E5" i="2"/>
  <c r="E6" i="2"/>
  <c r="E4" i="2"/>
  <c r="E2" i="2"/>
  <c r="E3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<sst xmlns="http://schemas.openxmlformats.org/spreadsheetml/2006/main" count="129" uniqueCount="31">
  <si>
    <t>CODIGO</t>
  </si>
  <si>
    <t>DESCRIPCION</t>
  </si>
  <si>
    <t>CANTIDAD</t>
  </si>
  <si>
    <t>PRECIO UNIT.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</si>
  <si>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</si>
  <si>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</si>
  <si>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</si>
  <si>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</si>
  <si>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</si>
  <si>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</si>
  <si>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</si>
  <si>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</si>
  <si>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</si>
  <si>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</si>
  <si>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</si>
  <si>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Rado con CD y mp3</t>
  </si>
  <si>
    <t>Radio AM/FM 3 bandas</t>
  </si>
  <si>
    <t>C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</si>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</sst>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1" max="1" width="12.42578125" customWidth="1"/>
    <col min="2" max="2" width="26.28515625" customWidth="1"/>
    <col min="3" max="3" width="11.28515625" customWidth="1"/>
    <col min="4" max="4" width="13.5703125" customWidth="1"/>
    <col min="5" max="5" width="12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PRODUCT(C3,D3)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17</v>
      </c>
      <c r="B10" t="s">
        <v>18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19</v>
      </c>
      <c r="C11">
        <v>8</v>
      </c>
      <c r="D11" s="1">
        <v>12000</v>
      </c>
      <c r="E11" s="1">
        <f t="shared" si="0"/>
        <v>96000</v>
      </c>
    </row>
    <row r="12" spans="1:5">
      <c r="A12" t="s">
        <v>20</v>
      </c>
      <c r="B12" t="s">
        <v>21</v>
      </c>
      <c r="C12">
        <v>6</v>
      </c>
      <c r="D12" s="1">
        <v>2500</v>
      </c>
      <c r="E12" s="1">
        <f t="shared" si="0"/>
        <v>15000</v>
      </c>
    </row>
    <row r="13" spans="1:5">
      <c r="A13" t="s">
        <v>20</v>
      </c>
      <c r="B13" t="s">
        <v>22</v>
      </c>
      <c r="C13">
        <v>6</v>
      </c>
      <c r="D13" s="1">
        <v>6500</v>
      </c>
      <c r="E13" s="1">
        <f t="shared" si="0"/>
        <v>39000</v>
      </c>
    </row>
    <row r="14" spans="1:5">
      <c r="A14" t="s">
        <v>17</v>
      </c>
      <c r="B14" t="s">
        <v>23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24</v>
      </c>
      <c r="C15">
        <v>1</v>
      </c>
      <c r="D15" s="1">
        <v>1800</v>
      </c>
      <c r="E15" s="1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25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t="s">
        <v>2</v>
      </c>
    </row>
    <row r="41" spans="1:6">
      <c r="C41" t="s">
        <v>26</v>
      </c>
      <c r="F4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831A-A8FD-420A-9844-171AB2591F64}">
  <dimension ref="A1:E15"/>
  <sheetViews>
    <sheetView workbookViewId="0">
      <selection activeCell="F1" sqref="F1"/>
    </sheetView>
  </sheetViews>
  <sheetFormatPr defaultRowHeight="15"/>
  <cols>
    <col min="2" max="2" width="18.85546875" customWidth="1"/>
    <col min="3" max="3" width="15.42578125" customWidth="1"/>
    <col min="4" max="4" width="12.7109375" customWidth="1"/>
    <col min="5" max="5" width="14.7109375" customWidth="1"/>
  </cols>
  <sheetData>
    <row r="1" spans="1:5" ht="29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17</v>
      </c>
      <c r="B2" s="4" t="s">
        <v>8</v>
      </c>
      <c r="C2" s="4">
        <v>10</v>
      </c>
      <c r="D2" s="5">
        <v>4800</v>
      </c>
      <c r="E2" s="5">
        <f>PRODUCT(C2,D2)</f>
        <v>48000</v>
      </c>
    </row>
    <row r="3" spans="1:5">
      <c r="A3" s="4" t="s">
        <v>17</v>
      </c>
      <c r="B3" s="4" t="s">
        <v>6</v>
      </c>
      <c r="C3" s="4">
        <v>12</v>
      </c>
      <c r="D3" s="5">
        <v>6500</v>
      </c>
      <c r="E3" s="5">
        <f>PRODUCT(C3,D3)</f>
        <v>78000</v>
      </c>
    </row>
    <row r="4" spans="1:5" ht="29.25">
      <c r="A4" s="4" t="s">
        <v>7</v>
      </c>
      <c r="B4" s="4" t="s">
        <v>9</v>
      </c>
      <c r="C4" s="4">
        <v>8</v>
      </c>
      <c r="D4" s="5">
        <v>7800</v>
      </c>
      <c r="E4" s="5">
        <f>PRODUCT(C4,D4)</f>
        <v>62400</v>
      </c>
    </row>
    <row r="5" spans="1:5" ht="29.25">
      <c r="A5" s="4" t="s">
        <v>10</v>
      </c>
      <c r="B5" s="4" t="s">
        <v>12</v>
      </c>
      <c r="C5" s="4">
        <v>4</v>
      </c>
      <c r="D5" s="5">
        <v>5000</v>
      </c>
      <c r="E5" s="5">
        <f>PRODUCT(C5,D5)</f>
        <v>20000</v>
      </c>
    </row>
    <row r="6" spans="1:5" ht="29.25">
      <c r="A6" s="4" t="s">
        <v>10</v>
      </c>
      <c r="B6" s="4" t="s">
        <v>11</v>
      </c>
      <c r="C6" s="4">
        <v>7</v>
      </c>
      <c r="D6" s="5">
        <v>8500</v>
      </c>
      <c r="E6" s="5">
        <f>PRODUCT(C6,D6)</f>
        <v>59500</v>
      </c>
    </row>
    <row r="7" spans="1:5" ht="29.25">
      <c r="A7" s="4" t="s">
        <v>13</v>
      </c>
      <c r="B7" s="4" t="s">
        <v>16</v>
      </c>
      <c r="C7" s="4">
        <v>5</v>
      </c>
      <c r="D7" s="5">
        <v>1200</v>
      </c>
      <c r="E7" s="5">
        <f>PRODUCT(C7,D7)</f>
        <v>6000</v>
      </c>
    </row>
    <row r="8" spans="1:5">
      <c r="A8" s="4" t="s">
        <v>13</v>
      </c>
      <c r="B8" s="4" t="s">
        <v>14</v>
      </c>
      <c r="C8" s="4">
        <v>4</v>
      </c>
      <c r="D8" s="5">
        <v>1800</v>
      </c>
      <c r="E8" s="5">
        <f>PRODUCT(C8,D8)</f>
        <v>7200</v>
      </c>
    </row>
    <row r="9" spans="1:5">
      <c r="A9" s="4" t="s">
        <v>13</v>
      </c>
      <c r="B9" s="4" t="s">
        <v>15</v>
      </c>
      <c r="C9" s="4">
        <v>3</v>
      </c>
      <c r="D9" s="5">
        <v>2600</v>
      </c>
      <c r="E9" s="5">
        <f>PRODUCT(C9,D9)</f>
        <v>7800</v>
      </c>
    </row>
    <row r="10" spans="1:5" ht="29.25">
      <c r="A10" s="4" t="s">
        <v>5</v>
      </c>
      <c r="B10" s="4" t="s">
        <v>22</v>
      </c>
      <c r="C10" s="4">
        <v>6</v>
      </c>
      <c r="D10" s="5">
        <v>6500</v>
      </c>
      <c r="E10" s="5">
        <f>PRODUCT(C10,D10)</f>
        <v>39000</v>
      </c>
    </row>
    <row r="11" spans="1:5" ht="29.25">
      <c r="A11" s="4" t="s">
        <v>5</v>
      </c>
      <c r="B11" s="4" t="s">
        <v>18</v>
      </c>
      <c r="C11" s="4">
        <v>2</v>
      </c>
      <c r="D11" s="5">
        <v>9400</v>
      </c>
      <c r="E11" s="5">
        <f>PRODUCT(C11,D11)</f>
        <v>18800</v>
      </c>
    </row>
    <row r="12" spans="1:5">
      <c r="A12" s="4" t="s">
        <v>5</v>
      </c>
      <c r="B12" s="4" t="s">
        <v>19</v>
      </c>
      <c r="C12" s="4">
        <v>8</v>
      </c>
      <c r="D12" s="5">
        <v>12000</v>
      </c>
      <c r="E12" s="5">
        <f>PRODUCT(C12,D12)</f>
        <v>96000</v>
      </c>
    </row>
    <row r="13" spans="1:5" ht="29.25">
      <c r="A13" s="4" t="s">
        <v>5</v>
      </c>
      <c r="B13" s="4" t="s">
        <v>21</v>
      </c>
      <c r="C13" s="4">
        <v>6</v>
      </c>
      <c r="D13" s="5">
        <v>2500</v>
      </c>
      <c r="E13" s="5">
        <f>PRODUCT(C13,D13)</f>
        <v>15000</v>
      </c>
    </row>
    <row r="14" spans="1:5" ht="29.25">
      <c r="A14" s="4" t="s">
        <v>20</v>
      </c>
      <c r="B14" s="4" t="s">
        <v>23</v>
      </c>
      <c r="C14" s="4">
        <v>2</v>
      </c>
      <c r="D14" s="5">
        <v>2400</v>
      </c>
      <c r="E14" s="5">
        <f>PRODUCT(C14,D14)</f>
        <v>4800</v>
      </c>
    </row>
    <row r="15" spans="1:5" ht="43.5">
      <c r="A15" s="4" t="s">
        <v>20</v>
      </c>
      <c r="B15" s="4" t="s">
        <v>24</v>
      </c>
      <c r="C15" s="4">
        <v>1</v>
      </c>
      <c r="D15" s="5">
        <v>1800</v>
      </c>
      <c r="E15" s="5">
        <f>PRODUCT(C15,D15)</f>
        <v>1800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4368-4A01-461F-988D-5EAF227FEFEC}">
  <dimension ref="A1:E20"/>
  <sheetViews>
    <sheetView topLeftCell="A13" workbookViewId="0">
      <selection activeCell="B20" sqref="B20"/>
    </sheetView>
  </sheetViews>
  <sheetFormatPr defaultRowHeight="15"/>
  <cols>
    <col min="1" max="1" width="19.5703125" customWidth="1"/>
    <col min="2" max="2" width="15.5703125" customWidth="1"/>
    <col min="4" max="4" width="14.7109375" customWidth="1"/>
    <col min="5" max="5" width="15.5703125" customWidth="1"/>
  </cols>
  <sheetData>
    <row r="1" spans="1:5" ht="29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9.25">
      <c r="A2" s="4" t="s">
        <v>5</v>
      </c>
      <c r="B2" s="4" t="s">
        <v>6</v>
      </c>
      <c r="C2" s="4">
        <v>12</v>
      </c>
      <c r="D2" s="5">
        <v>6500</v>
      </c>
      <c r="E2" s="5">
        <f>PRODUCT(C2,D2)</f>
        <v>78000</v>
      </c>
    </row>
    <row r="3" spans="1:5" ht="29.25">
      <c r="A3" s="4" t="s">
        <v>7</v>
      </c>
      <c r="B3" s="4" t="s">
        <v>8</v>
      </c>
      <c r="C3" s="4">
        <v>10</v>
      </c>
      <c r="D3" s="5">
        <v>4800</v>
      </c>
      <c r="E3" s="5">
        <f t="shared" ref="E3:E15" si="0">PRODUCT(C3,D3)</f>
        <v>48000</v>
      </c>
    </row>
    <row r="4" spans="1:5" ht="29.25">
      <c r="A4" s="4" t="s">
        <v>5</v>
      </c>
      <c r="B4" s="4" t="s">
        <v>9</v>
      </c>
      <c r="C4" s="4">
        <v>8</v>
      </c>
      <c r="D4" s="5">
        <v>7800</v>
      </c>
      <c r="E4" s="5">
        <f t="shared" si="0"/>
        <v>62400</v>
      </c>
    </row>
    <row r="5" spans="1:5" ht="57.75">
      <c r="A5" s="4" t="s">
        <v>10</v>
      </c>
      <c r="B5" s="4" t="s">
        <v>11</v>
      </c>
      <c r="C5" s="4">
        <v>7</v>
      </c>
      <c r="D5" s="5">
        <v>8500</v>
      </c>
      <c r="E5" s="5">
        <f t="shared" si="0"/>
        <v>59500</v>
      </c>
    </row>
    <row r="6" spans="1:5" ht="43.5">
      <c r="A6" s="4" t="s">
        <v>10</v>
      </c>
      <c r="B6" s="4" t="s">
        <v>12</v>
      </c>
      <c r="C6" s="4">
        <v>4</v>
      </c>
      <c r="D6" s="5">
        <v>5000</v>
      </c>
      <c r="E6" s="5">
        <f t="shared" si="0"/>
        <v>20000</v>
      </c>
    </row>
    <row r="7" spans="1:5" ht="43.5">
      <c r="A7" s="4" t="s">
        <v>13</v>
      </c>
      <c r="B7" s="4" t="s">
        <v>14</v>
      </c>
      <c r="C7" s="4">
        <v>4</v>
      </c>
      <c r="D7" s="5">
        <v>1800</v>
      </c>
      <c r="E7" s="5">
        <f t="shared" si="0"/>
        <v>7200</v>
      </c>
    </row>
    <row r="8" spans="1:5" ht="29.25">
      <c r="A8" s="4" t="s">
        <v>13</v>
      </c>
      <c r="B8" s="4" t="s">
        <v>15</v>
      </c>
      <c r="C8" s="4">
        <v>3</v>
      </c>
      <c r="D8" s="5">
        <v>2600</v>
      </c>
      <c r="E8" s="5">
        <f t="shared" si="0"/>
        <v>7800</v>
      </c>
    </row>
    <row r="9" spans="1:5" ht="43.5">
      <c r="A9" s="4" t="s">
        <v>13</v>
      </c>
      <c r="B9" s="4" t="s">
        <v>16</v>
      </c>
      <c r="C9" s="4">
        <v>5</v>
      </c>
      <c r="D9" s="5">
        <v>1200</v>
      </c>
      <c r="E9" s="5">
        <f t="shared" si="0"/>
        <v>6000</v>
      </c>
    </row>
    <row r="10" spans="1:5" ht="57.75">
      <c r="A10" s="4" t="s">
        <v>17</v>
      </c>
      <c r="B10" s="4" t="s">
        <v>18</v>
      </c>
      <c r="C10" s="4">
        <v>2</v>
      </c>
      <c r="D10" s="5">
        <v>9400</v>
      </c>
      <c r="E10" s="5">
        <f t="shared" si="0"/>
        <v>18800</v>
      </c>
    </row>
    <row r="11" spans="1:5" ht="43.5">
      <c r="A11" s="4" t="s">
        <v>5</v>
      </c>
      <c r="B11" s="4" t="s">
        <v>19</v>
      </c>
      <c r="C11" s="4">
        <v>8</v>
      </c>
      <c r="D11" s="5">
        <v>12000</v>
      </c>
      <c r="E11" s="5">
        <f t="shared" si="0"/>
        <v>96000</v>
      </c>
    </row>
    <row r="12" spans="1:5" ht="43.5">
      <c r="A12" s="4" t="s">
        <v>20</v>
      </c>
      <c r="B12" s="4" t="s">
        <v>21</v>
      </c>
      <c r="C12" s="4">
        <v>6</v>
      </c>
      <c r="D12" s="5">
        <v>2500</v>
      </c>
      <c r="E12" s="5">
        <f t="shared" si="0"/>
        <v>15000</v>
      </c>
    </row>
    <row r="13" spans="1:5" ht="43.5">
      <c r="A13" s="4" t="s">
        <v>20</v>
      </c>
      <c r="B13" s="4" t="s">
        <v>22</v>
      </c>
      <c r="C13" s="4">
        <v>6</v>
      </c>
      <c r="D13" s="5">
        <v>6500</v>
      </c>
      <c r="E13" s="5">
        <f t="shared" si="0"/>
        <v>39000</v>
      </c>
    </row>
    <row r="14" spans="1:5" ht="29.25">
      <c r="A14" s="4" t="s">
        <v>17</v>
      </c>
      <c r="B14" s="4" t="s">
        <v>23</v>
      </c>
      <c r="C14" s="4">
        <v>2</v>
      </c>
      <c r="D14" s="5">
        <v>2400</v>
      </c>
      <c r="E14" s="5">
        <f t="shared" si="0"/>
        <v>4800</v>
      </c>
    </row>
    <row r="15" spans="1:5" ht="43.5">
      <c r="A15" s="4" t="s">
        <v>5</v>
      </c>
      <c r="B15" s="4" t="s">
        <v>24</v>
      </c>
      <c r="C15" s="4">
        <v>1</v>
      </c>
      <c r="D15" s="5">
        <v>1800</v>
      </c>
      <c r="E15" s="5">
        <f t="shared" si="0"/>
        <v>1800</v>
      </c>
    </row>
    <row r="18" spans="1:2">
      <c r="A18" t="s">
        <v>28</v>
      </c>
      <c r="B18">
        <f>SUMIFS(E2:E15,A2:A15,"C",C2:C15,"&lt;10")</f>
        <v>23600</v>
      </c>
    </row>
    <row r="19" spans="1:2">
      <c r="A19" t="s">
        <v>29</v>
      </c>
      <c r="B19">
        <f>COUNTIFS(A2:A15,"R",D2:D15,"&gt;2000",C2:C15,"&lt;4")</f>
        <v>1</v>
      </c>
    </row>
    <row r="20" spans="1:2">
      <c r="A20" t="s">
        <v>30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2026-02-19T15:00:27Z</dcterms:created>
  <dcterms:modified xsi:type="dcterms:W3CDTF">2026-02-19T15:40:48Z</dcterms:modified>
  <cp:category/>
  <cp:contentStatus/>
</cp:coreProperties>
</file>