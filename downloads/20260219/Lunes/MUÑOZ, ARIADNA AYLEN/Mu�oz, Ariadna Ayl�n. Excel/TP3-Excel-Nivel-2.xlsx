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filterPrivacy="1" defaultThemeVersion="166925"/>
  <xr:revisionPtr revIDLastSave="0" documentId="8_{551C8366-941C-46CA-B0CB-4F9EC9D88E66}" xr6:coauthVersionLast="47" xr6:coauthVersionMax="47" xr10:uidLastSave="{00000000-0000-0000-0000-000000000000}"/>
  <bookViews>
    <workbookView xWindow="0" yWindow="0" windowWidth="28560" windowHeight="13905" firstSheet="2" activeTab="2" xr2:uid="{A22C7B05-6B0A-4116-A99A-60EDDEA67682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C19" i="3"/>
  <c r="C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A19" i="1"/>
  <c r="A18" i="1"/>
  <c r="A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<sst xmlns="http://schemas.openxmlformats.org/spreadsheetml/2006/main" count="130" uniqueCount="32">
  <si>
    <t>CODIGO</t>
  </si>
  <si>
    <t>DESCRIPCION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</si>
  <si>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</si>
  <si>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</si>
  <si>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</si>
  <si>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</si>
  <si>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</si>
  <si>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</si>
  <si>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</si>
  <si>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</si>
  <si>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</si>
  <si>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 con freecer</t>
  </si>
  <si>
    <t>Freezer carga superior</t>
  </si>
  <si>
    <t>R</t>
  </si>
  <si>
    <t>Radio onda corta</t>
  </si>
  <si>
    <t>Radio con CD y mp3</t>
  </si>
  <si>
    <t>Radio AM/FM 3 bandas</t>
  </si>
  <si>
    <t xml:space="preserve">C </t>
  </si>
  <si>
    <t>Cocina industrial 6 hornallas</t>
  </si>
  <si>
    <t>Televisor 42" LED 3D</t>
  </si>
  <si>
    <t>V</t>
  </si>
  <si>
    <t>Ventilador 25" giratorio</t>
  </si>
  <si>
    <t>Aire acondicionado F/c</t>
  </si>
  <si>
    <t>Anafe 2 hornallas</t>
  </si>
  <si>
    <t>TV portatil 12V</t>
  </si>
  <si>
    <t>&gt;=5</t>
  </si>
  <si>
    <t>&gt;4</t>
  </si>
  <si>
    <t>&lt;9</t>
  </si>
  <si>
    <t>IMPORTE TOTAL</t>
  </si>
  <si>
    <t>-&gt; este no me da :(</t>
  </si>
  <si>
    <t>CONTAR PRODUCTOS</t>
  </si>
  <si>
    <t>PROMEDIO DEL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</si>
</sst>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F41"/>
  <sheetViews>
    <sheetView workbookViewId="0">
      <selection sqref="A1:E15"/>
    </sheetView>
  </sheetViews>
  <sheetFormatPr defaultColWidth="11.42578125" defaultRowHeight="15"/>
  <cols>
    <col min="1" max="1" width="17" bestFit="1" customWidth="1"/>
    <col min="2" max="2" width="25.85546875" bestFit="1" customWidth="1"/>
    <col min="4" max="4" width="12.710937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PRODUCT($C2:$D2)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PRODUCT($C3:$D3)</f>
        <v>48000</v>
      </c>
    </row>
    <row r="4" spans="1:5">
      <c r="A4" s="1" t="s">
        <v>5</v>
      </c>
      <c r="B4" s="1" t="s">
        <v>9</v>
      </c>
      <c r="C4" s="1">
        <v>8</v>
      </c>
      <c r="D4" s="2">
        <v>7800</v>
      </c>
      <c r="E4" s="2">
        <f t="shared" si="0"/>
        <v>62400</v>
      </c>
    </row>
    <row r="5" spans="1:5">
      <c r="A5" s="1" t="s">
        <v>10</v>
      </c>
      <c r="B5" s="1" t="s">
        <v>11</v>
      </c>
      <c r="C5" s="1">
        <v>7</v>
      </c>
      <c r="D5" s="2">
        <v>8500</v>
      </c>
      <c r="E5" s="2">
        <f t="shared" si="0"/>
        <v>59500</v>
      </c>
    </row>
    <row r="6" spans="1:5">
      <c r="A6" s="1" t="s">
        <v>10</v>
      </c>
      <c r="B6" s="1" t="s">
        <v>12</v>
      </c>
      <c r="C6" s="1">
        <v>4</v>
      </c>
      <c r="D6" s="2">
        <v>5000</v>
      </c>
      <c r="E6" s="2">
        <f t="shared" si="0"/>
        <v>20000</v>
      </c>
    </row>
    <row r="7" spans="1:5">
      <c r="A7" s="1" t="s">
        <v>13</v>
      </c>
      <c r="B7" s="1" t="s">
        <v>14</v>
      </c>
      <c r="C7" s="1">
        <v>4</v>
      </c>
      <c r="D7" s="2">
        <v>1800</v>
      </c>
      <c r="E7" s="2">
        <f t="shared" si="0"/>
        <v>7200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 t="shared" si="0"/>
        <v>7800</v>
      </c>
    </row>
    <row r="9" spans="1:5">
      <c r="A9" s="1" t="s">
        <v>13</v>
      </c>
      <c r="B9" s="1" t="s">
        <v>16</v>
      </c>
      <c r="C9" s="1">
        <v>5</v>
      </c>
      <c r="D9" s="2">
        <v>1200</v>
      </c>
      <c r="E9" s="2">
        <f t="shared" si="0"/>
        <v>6000</v>
      </c>
    </row>
    <row r="10" spans="1:5">
      <c r="A10" s="1" t="s">
        <v>17</v>
      </c>
      <c r="B10" s="1" t="s">
        <v>18</v>
      </c>
      <c r="C10" s="1">
        <v>2</v>
      </c>
      <c r="D10" s="2">
        <v>9400</v>
      </c>
      <c r="E10" s="2">
        <f t="shared" si="0"/>
        <v>18800</v>
      </c>
    </row>
    <row r="11" spans="1:5">
      <c r="A11" s="1" t="s">
        <v>5</v>
      </c>
      <c r="B11" s="1" t="s">
        <v>19</v>
      </c>
      <c r="C11" s="1">
        <v>8</v>
      </c>
      <c r="D11" s="2">
        <v>12000</v>
      </c>
      <c r="E11" s="2">
        <f t="shared" si="0"/>
        <v>96000</v>
      </c>
    </row>
    <row r="12" spans="1:5">
      <c r="A12" s="1" t="s">
        <v>20</v>
      </c>
      <c r="B12" s="1" t="s">
        <v>21</v>
      </c>
      <c r="C12" s="1">
        <v>6</v>
      </c>
      <c r="D12" s="2">
        <v>2500</v>
      </c>
      <c r="E12" s="2">
        <f t="shared" si="0"/>
        <v>15000</v>
      </c>
    </row>
    <row r="13" spans="1:5">
      <c r="A13" s="1" t="s">
        <v>20</v>
      </c>
      <c r="B13" s="1" t="s">
        <v>22</v>
      </c>
      <c r="C13" s="1">
        <v>6</v>
      </c>
      <c r="D13" s="2">
        <v>6500</v>
      </c>
      <c r="E13" s="2">
        <f t="shared" si="0"/>
        <v>39000</v>
      </c>
    </row>
    <row r="14" spans="1:5">
      <c r="A14" s="1" t="s">
        <v>7</v>
      </c>
      <c r="B14" s="1" t="s">
        <v>23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24</v>
      </c>
      <c r="C15" s="1">
        <v>1</v>
      </c>
      <c r="D15" s="2">
        <v>1800</v>
      </c>
      <c r="E15" s="2">
        <f t="shared" si="0"/>
        <v>1800</v>
      </c>
    </row>
    <row r="17" spans="1:5">
      <c r="A17">
        <f>DMAX(A1:E15,4,A25:E26)</f>
        <v>8500</v>
      </c>
    </row>
    <row r="18" spans="1:5">
      <c r="A18">
        <f>DSUM(A1:E15,5,A30:E31)</f>
        <v>6000</v>
      </c>
    </row>
    <row r="19" spans="1:5">
      <c r="A19">
        <f>DGET(A1:E15,4,A35:E36)</f>
        <v>1800</v>
      </c>
    </row>
    <row r="20" spans="1:5">
      <c r="A20">
        <f>DCOUNTA(A1:E15,4,A40:F41)</f>
        <v>6</v>
      </c>
    </row>
    <row r="25" spans="1: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</row>
    <row r="26" spans="1:5">
      <c r="A26" t="s">
        <v>10</v>
      </c>
    </row>
    <row r="30" spans="1:5">
      <c r="A30" s="3" t="s">
        <v>0</v>
      </c>
      <c r="B30" s="3" t="s">
        <v>1</v>
      </c>
      <c r="C30" s="3" t="s">
        <v>2</v>
      </c>
      <c r="D30" s="3" t="s">
        <v>3</v>
      </c>
      <c r="E30" s="3" t="s">
        <v>4</v>
      </c>
    </row>
    <row r="31" spans="1:5">
      <c r="A31" t="s">
        <v>13</v>
      </c>
      <c r="C31" t="s">
        <v>25</v>
      </c>
    </row>
    <row r="35" spans="1:6">
      <c r="A35" s="3" t="s">
        <v>0</v>
      </c>
      <c r="B35" s="3" t="s">
        <v>1</v>
      </c>
      <c r="C35" s="3" t="s">
        <v>2</v>
      </c>
      <c r="D35" s="3" t="s">
        <v>3</v>
      </c>
      <c r="E35" s="3" t="s">
        <v>4</v>
      </c>
    </row>
    <row r="36" spans="1:6">
      <c r="B36" t="s">
        <v>14</v>
      </c>
    </row>
    <row r="40" spans="1:6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2</v>
      </c>
    </row>
    <row r="41" spans="1:6">
      <c r="C41" t="s">
        <v>26</v>
      </c>
      <c r="F41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2A63-66A9-49D0-96E5-D6474437D2F4}">
  <dimension ref="A1:E15"/>
  <sheetViews>
    <sheetView workbookViewId="0">
      <selection sqref="A1:E15"/>
    </sheetView>
  </sheetViews>
  <sheetFormatPr defaultRowHeight="15"/>
  <cols>
    <col min="2" max="2" width="25.5703125" customWidth="1"/>
    <col min="4" max="4" width="12.85546875" bestFit="1" customWidth="1"/>
    <col min="5" max="5" width="11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23</v>
      </c>
      <c r="C2" s="1">
        <v>2</v>
      </c>
      <c r="D2" s="2">
        <v>2400</v>
      </c>
      <c r="E2" s="2">
        <f>PRODUCT($C2:$D2)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PRODUCT($C3:$D3)</f>
        <v>48000</v>
      </c>
    </row>
    <row r="4" spans="1:5">
      <c r="A4" s="1" t="s">
        <v>17</v>
      </c>
      <c r="B4" s="1" t="s">
        <v>18</v>
      </c>
      <c r="C4" s="1">
        <v>2</v>
      </c>
      <c r="D4" s="2">
        <v>9400</v>
      </c>
      <c r="E4" s="2">
        <f>PRODUCT($C4:$D4)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PRODUCT($C5:$D5)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PRODUCT($C6:$D6)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PRODUCT($C7:$D7)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PRODUCT($C8:$D8)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PRODUCT($C9:$D9)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PRODUCT($C10:$D10)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PRODUCT($C11:$D11)</f>
        <v>62400</v>
      </c>
    </row>
    <row r="12" spans="1:5">
      <c r="A12" s="1" t="s">
        <v>5</v>
      </c>
      <c r="B12" s="1" t="s">
        <v>19</v>
      </c>
      <c r="C12" s="1">
        <v>8</v>
      </c>
      <c r="D12" s="2">
        <v>12000</v>
      </c>
      <c r="E12" s="2">
        <f>PRODUCT($C12:$D12)</f>
        <v>96000</v>
      </c>
    </row>
    <row r="13" spans="1:5">
      <c r="A13" s="1" t="s">
        <v>5</v>
      </c>
      <c r="B13" s="1" t="s">
        <v>24</v>
      </c>
      <c r="C13" s="1">
        <v>1</v>
      </c>
      <c r="D13" s="2">
        <v>1800</v>
      </c>
      <c r="E13" s="2">
        <f>PRODUCT($C13:$D13)</f>
        <v>1800</v>
      </c>
    </row>
    <row r="14" spans="1:5">
      <c r="A14" s="1" t="s">
        <v>20</v>
      </c>
      <c r="B14" s="1" t="s">
        <v>22</v>
      </c>
      <c r="C14" s="1">
        <v>6</v>
      </c>
      <c r="D14" s="2">
        <v>6500</v>
      </c>
      <c r="E14" s="2">
        <f>PRODUCT($C14:$D14)</f>
        <v>39000</v>
      </c>
    </row>
    <row r="15" spans="1:5">
      <c r="A15" s="1" t="s">
        <v>20</v>
      </c>
      <c r="B15" s="1" t="s">
        <v>21</v>
      </c>
      <c r="C15" s="1">
        <v>6</v>
      </c>
      <c r="D15" s="2">
        <v>2500</v>
      </c>
      <c r="E15" s="2">
        <f>PRODUCT($C15:$D15)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6533-DA6B-4D1B-97B2-ADDD02DC6958}">
  <dimension ref="A1:E20"/>
  <sheetViews>
    <sheetView tabSelected="1" workbookViewId="0">
      <selection activeCell="C21" sqref="C21"/>
    </sheetView>
  </sheetViews>
  <sheetFormatPr defaultRowHeight="15"/>
  <cols>
    <col min="1" max="1" width="3.85546875" customWidth="1"/>
    <col min="2" max="2" width="19.7109375" bestFit="1" customWidth="1"/>
    <col min="3" max="3" width="43.7109375" customWidth="1"/>
    <col min="4" max="4" width="15.140625" customWidth="1"/>
    <col min="5" max="5" width="1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7</v>
      </c>
      <c r="B2" s="1" t="s">
        <v>23</v>
      </c>
      <c r="C2" s="1">
        <v>2</v>
      </c>
      <c r="D2" s="2">
        <v>2400</v>
      </c>
      <c r="E2" s="2">
        <f>PRODUCT($C2:$D2)</f>
        <v>4800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>PRODUCT($C3:$D3)</f>
        <v>48000</v>
      </c>
    </row>
    <row r="4" spans="1:5">
      <c r="A4" s="1" t="s">
        <v>17</v>
      </c>
      <c r="B4" s="1" t="s">
        <v>18</v>
      </c>
      <c r="C4" s="1">
        <v>2</v>
      </c>
      <c r="D4" s="2">
        <v>9400</v>
      </c>
      <c r="E4" s="2">
        <f>PRODUCT($C4:$D4)</f>
        <v>18800</v>
      </c>
    </row>
    <row r="5" spans="1:5">
      <c r="A5" s="1" t="s">
        <v>10</v>
      </c>
      <c r="B5" s="1" t="s">
        <v>12</v>
      </c>
      <c r="C5" s="1">
        <v>4</v>
      </c>
      <c r="D5" s="2">
        <v>5000</v>
      </c>
      <c r="E5" s="2">
        <f>PRODUCT($C5:$D5)</f>
        <v>20000</v>
      </c>
    </row>
    <row r="6" spans="1:5">
      <c r="A6" s="1" t="s">
        <v>10</v>
      </c>
      <c r="B6" s="1" t="s">
        <v>11</v>
      </c>
      <c r="C6" s="1">
        <v>7</v>
      </c>
      <c r="D6" s="2">
        <v>8500</v>
      </c>
      <c r="E6" s="2">
        <f>PRODUCT($C6:$D6)</f>
        <v>59500</v>
      </c>
    </row>
    <row r="7" spans="1:5">
      <c r="A7" s="1" t="s">
        <v>13</v>
      </c>
      <c r="B7" s="1" t="s">
        <v>16</v>
      </c>
      <c r="C7" s="1">
        <v>5</v>
      </c>
      <c r="D7" s="2">
        <v>1200</v>
      </c>
      <c r="E7" s="2">
        <f>PRODUCT($C7:$D7)</f>
        <v>6000</v>
      </c>
    </row>
    <row r="8" spans="1:5">
      <c r="A8" s="1" t="s">
        <v>13</v>
      </c>
      <c r="B8" s="1" t="s">
        <v>15</v>
      </c>
      <c r="C8" s="1">
        <v>3</v>
      </c>
      <c r="D8" s="2">
        <v>2600</v>
      </c>
      <c r="E8" s="2">
        <f>PRODUCT($C8:$D8)</f>
        <v>7800</v>
      </c>
    </row>
    <row r="9" spans="1:5">
      <c r="A9" s="1" t="s">
        <v>13</v>
      </c>
      <c r="B9" s="1" t="s">
        <v>14</v>
      </c>
      <c r="C9" s="1">
        <v>4</v>
      </c>
      <c r="D9" s="2">
        <v>1800</v>
      </c>
      <c r="E9" s="2">
        <f>PRODUCT($C9:$D9)</f>
        <v>7200</v>
      </c>
    </row>
    <row r="10" spans="1:5">
      <c r="A10" s="1" t="s">
        <v>5</v>
      </c>
      <c r="B10" s="1" t="s">
        <v>6</v>
      </c>
      <c r="C10" s="1">
        <v>12</v>
      </c>
      <c r="D10" s="2">
        <v>6500</v>
      </c>
      <c r="E10" s="2">
        <f>PRODUCT($C10:$D10)</f>
        <v>78000</v>
      </c>
    </row>
    <row r="11" spans="1:5">
      <c r="A11" s="1" t="s">
        <v>5</v>
      </c>
      <c r="B11" s="1" t="s">
        <v>9</v>
      </c>
      <c r="C11" s="1">
        <v>8</v>
      </c>
      <c r="D11" s="2">
        <v>7800</v>
      </c>
      <c r="E11" s="2">
        <f>PRODUCT($C11:$D11)</f>
        <v>62400</v>
      </c>
    </row>
    <row r="12" spans="1:5">
      <c r="A12" s="1" t="s">
        <v>5</v>
      </c>
      <c r="B12" s="1" t="s">
        <v>19</v>
      </c>
      <c r="C12" s="1">
        <v>8</v>
      </c>
      <c r="D12" s="2">
        <v>12000</v>
      </c>
      <c r="E12" s="2">
        <f>PRODUCT($C12:$D12)</f>
        <v>96000</v>
      </c>
    </row>
    <row r="13" spans="1:5">
      <c r="A13" s="1" t="s">
        <v>5</v>
      </c>
      <c r="B13" s="1" t="s">
        <v>24</v>
      </c>
      <c r="C13" s="1">
        <v>1</v>
      </c>
      <c r="D13" s="2">
        <v>1800</v>
      </c>
      <c r="E13" s="2">
        <f>PRODUCT($C13:$D13)</f>
        <v>1800</v>
      </c>
    </row>
    <row r="14" spans="1:5">
      <c r="A14" s="1" t="s">
        <v>20</v>
      </c>
      <c r="B14" s="1" t="s">
        <v>22</v>
      </c>
      <c r="C14" s="1">
        <v>6</v>
      </c>
      <c r="D14" s="2">
        <v>6500</v>
      </c>
      <c r="E14" s="2">
        <f>PRODUCT($C14:$D14)</f>
        <v>39000</v>
      </c>
    </row>
    <row r="15" spans="1:5">
      <c r="A15" s="1" t="s">
        <v>20</v>
      </c>
      <c r="B15" s="1" t="s">
        <v>21</v>
      </c>
      <c r="C15" s="1">
        <v>6</v>
      </c>
      <c r="D15" s="2">
        <v>2500</v>
      </c>
      <c r="E15" s="2">
        <f>PRODUCT($C15:$D15)</f>
        <v>15000</v>
      </c>
    </row>
    <row r="18" spans="1:4" ht="30.75">
      <c r="A18" t="s">
        <v>28</v>
      </c>
      <c r="C18" s="4">
        <f>SUMIFS(E2:E15,A2:A15,"C",C2:C15,"&lt;10")</f>
        <v>4800</v>
      </c>
      <c r="D18" s="4" t="s">
        <v>29</v>
      </c>
    </row>
    <row r="19" spans="1:4">
      <c r="A19" t="s">
        <v>30</v>
      </c>
      <c r="C19">
        <f>COUNTIFS(A2:A15,"R",D2:D15,"&gt;2000",C2:C15,"&lt;4")</f>
        <v>1</v>
      </c>
    </row>
    <row r="20" spans="1:4">
      <c r="A20" t="s">
        <v>31</v>
      </c>
      <c r="C20" s="4">
        <f>AVERAGEIFS(E2:E15,B2:B15,"T*",D2:D15,"&lt;12000")</f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2026-02-19T00:18:34Z</dcterms:created>
  <dcterms:modified xsi:type="dcterms:W3CDTF">2026-02-19T01:09:03Z</dcterms:modified>
  <cp:category/>
  <cp:contentStatus/>
</cp:coreProperties>
</file>