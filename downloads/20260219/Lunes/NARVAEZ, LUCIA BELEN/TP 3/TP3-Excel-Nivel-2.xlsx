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28FF9270-A40E-4452-826A-7AAFE3ECDAEA}" xr6:coauthVersionLast="47" xr6:coauthVersionMax="47" xr10:uidLastSave="{00000000-0000-0000-0000-000000000000}"/>
  <bookViews>
    <workbookView xWindow="0" yWindow="0" windowWidth="28560" windowHeight="13905" activeTab="1" xr2:uid="{A22C7B05-6B0A-4116-A99A-60EDDEA67682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A18" i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<sst xmlns="http://schemas.openxmlformats.org/spreadsheetml/2006/main" count="127" uniqueCount="29">
  <si>
    <t>CÓDIGO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</si>
  <si>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</si>
  <si>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</si>
  <si>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</si>
  <si>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</si>
  <si>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</si>
  <si>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</si>
  <si>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</si>
  <si>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</si>
  <si>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</si>
  <si>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</si>
  <si>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</si>
  <si>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</si>
  <si>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</si>
  <si>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</si>
  <si>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</si>
  <si>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</si>
  <si>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</si>
  <si>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</si>
  <si>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</si>
  <si>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</si>
  <si>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</si>
  <si>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</si>
  <si>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portátil (12V)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</si>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</sst>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2C0A]\ * #,##0.00_-;\-[$$-2C0A]\ * #,##0.00_-;_-[$$-2C0A]\ * &quot;-&quot;??_-;_-@_-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41"/>
  <sheetViews>
    <sheetView topLeftCell="A6" workbookViewId="0">
      <selection activeCell="C17" sqref="C17"/>
    </sheetView>
  </sheetViews>
  <sheetFormatPr defaultColWidth="11.42578125" defaultRowHeight="15"/>
  <cols>
    <col min="1" max="1" width="8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2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PRODUCT(C2:D2)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PRODUCT(C3:D3)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21000</v>
      </c>
    </row>
    <row r="19" spans="1:5">
      <c r="A19">
        <f>DGET(A1:E15,4,A35:E36)</f>
        <v>1800</v>
      </c>
    </row>
    <row r="20" spans="1:5">
      <c r="A20">
        <f>DCOUNTA(A1:E15,2,A40:F41)</f>
        <v>0</v>
      </c>
    </row>
    <row r="25" spans="1:5">
      <c r="A25" s="5" t="s">
        <v>0</v>
      </c>
      <c r="B25" s="5" t="s">
        <v>1</v>
      </c>
      <c r="C25" s="5" t="s">
        <v>2</v>
      </c>
      <c r="D25" s="5" t="s">
        <v>3</v>
      </c>
      <c r="E25" s="5" t="s">
        <v>4</v>
      </c>
    </row>
    <row r="26" spans="1:5">
      <c r="A26" s="4" t="s">
        <v>10</v>
      </c>
    </row>
    <row r="30" spans="1:5">
      <c r="A30" s="5" t="s">
        <v>0</v>
      </c>
      <c r="B30" s="5" t="s">
        <v>1</v>
      </c>
      <c r="C30" s="5" t="s">
        <v>2</v>
      </c>
      <c r="D30" s="5" t="s">
        <v>3</v>
      </c>
      <c r="E30" s="5" t="s">
        <v>4</v>
      </c>
    </row>
    <row r="31" spans="1:5">
      <c r="A31" t="s">
        <v>13</v>
      </c>
    </row>
    <row r="35" spans="1:5">
      <c r="A35" s="5" t="s">
        <v>0</v>
      </c>
      <c r="B35" s="5" t="s">
        <v>1</v>
      </c>
      <c r="C35" s="5" t="s">
        <v>2</v>
      </c>
      <c r="D35" s="5" t="s">
        <v>3</v>
      </c>
      <c r="E35" s="5" t="s">
        <v>4</v>
      </c>
    </row>
    <row r="36" spans="1:5">
      <c r="B36" t="s">
        <v>14</v>
      </c>
    </row>
    <row r="40" spans="1:5">
      <c r="A40" s="5" t="s">
        <v>0</v>
      </c>
      <c r="B40" s="5" t="s">
        <v>1</v>
      </c>
      <c r="C40" s="5" t="s">
        <v>2</v>
      </c>
      <c r="D40" s="5" t="s">
        <v>3</v>
      </c>
      <c r="E40" s="5" t="s">
        <v>4</v>
      </c>
    </row>
    <row r="41" spans="1:5">
      <c r="C41" t="s">
        <v>24</v>
      </c>
      <c r="E4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5891-F13B-4E58-A0B9-56D47A304418}">
  <dimension ref="A1:E15"/>
  <sheetViews>
    <sheetView tabSelected="1" workbookViewId="0">
      <selection activeCell="H11" sqref="H11"/>
    </sheetView>
  </sheetViews>
  <sheetFormatPr defaultRowHeight="15"/>
  <cols>
    <col min="1" max="1" width="8" bestFit="1" customWidth="1"/>
    <col min="2" max="2" width="26.28515625" bestFit="1" customWidth="1"/>
    <col min="3" max="3" width="11.140625" customWidth="1"/>
    <col min="4" max="5" width="12.140625" bestFit="1" customWidth="1"/>
  </cols>
  <sheetData>
    <row r="1" spans="1:5" ht="3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PRODUCT(C2:D2)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PRODUCT(C3:D3)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PRODUCT(C4:D4)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PRODUCT(C5:D5)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PRODUCT(C6:D6)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PRODUCT(C7:D7)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PRODUCT(C8:D8)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PRODUCT(C9:D9)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PRODUCT(C10:D10)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PRODUCT(C11:D11)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PRODUCT(C12:D12)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PRODUCT(C13:D13)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PRODUCT(C14:D14)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C527-EFD4-4DB2-9F1D-B32BD7481497}">
  <dimension ref="A1:E20"/>
  <sheetViews>
    <sheetView workbookViewId="0">
      <selection activeCell="B19" sqref="B19"/>
    </sheetView>
  </sheetViews>
  <sheetFormatPr defaultRowHeight="15"/>
  <cols>
    <col min="1" max="1" width="20" bestFit="1" customWidth="1"/>
    <col min="2" max="2" width="26.28515625" bestFit="1" customWidth="1"/>
    <col min="4" max="5" width="12.140625" bestFit="1" customWidth="1"/>
  </cols>
  <sheetData>
    <row r="1" spans="1:5" ht="3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PRODUCT(C2:D2)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PRODUCT(C3:D3)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PRODUCT(C4:D4)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PRODUCT(C5:D5)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PRODUCT(C6:D6)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PRODUCT(C7:D7)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PRODUCT(C8:D8)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PRODUCT(C9:D9)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PRODUCT(C10:D10)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PRODUCT(C11:D11)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PRODUCT(C12:D12)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PRODUCT(C13:D13)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PRODUCT(C14:D14)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PRODUCT(C15:D15)</f>
        <v>15000</v>
      </c>
    </row>
    <row r="18" spans="1:2">
      <c r="A18" s="6" t="s">
        <v>26</v>
      </c>
      <c r="B18">
        <f>SUMIFS(E2:E15,A2:A15,"C",C2:C15,"&lt;10")</f>
        <v>23600</v>
      </c>
    </row>
    <row r="19" spans="1:2">
      <c r="A19" s="6" t="s">
        <v>27</v>
      </c>
      <c r="B19">
        <f>COUNTIFS(A2:A15,"R",D2:D15,"&gt;2000",C2:C15,"&lt;4")</f>
        <v>1</v>
      </c>
    </row>
    <row r="20" spans="1:2">
      <c r="A20" s="6" t="s">
        <v>28</v>
      </c>
      <c r="B20">
        <f>AVERAGEIFS(E2:E15,A2:A15,"T*",D2:D15,"&lt;12000")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2026-02-15T20:45:18Z</dcterms:created>
  <dcterms:modified xsi:type="dcterms:W3CDTF">2026-02-15T21:15:14Z</dcterms:modified>
  <cp:category/>
  <cp:contentStatus/>
</cp:coreProperties>
</file>