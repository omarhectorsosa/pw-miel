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B17C086A-E04E-43CA-8A23-99D8AC52451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 1" sheetId="1" r:id="rId1"/>
    <sheet name="Hoja 2" sheetId="2" r:id="rId2"/>
    <sheet name="Hoja 3" sheetId="3" r:id="rId3"/>
  </sheets>
  <definedNames>
    <definedName name="_xlnm._FilterDatabase" localSheetId="2" hidden="1">'Hoja 3'!$A$1:$E$1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8" i="3"/>
  <c r="E12" i="3"/>
  <c r="E13" i="3"/>
  <c r="E9" i="3"/>
  <c r="E3" i="3"/>
  <c r="E7" i="3"/>
  <c r="E2" i="3"/>
  <c r="E14" i="3"/>
  <c r="E15" i="3"/>
  <c r="E6" i="3"/>
  <c r="E11" i="3"/>
  <c r="E5" i="3"/>
  <c r="E4" i="3"/>
  <c r="B18" i="3"/>
  <c r="B19" i="3"/>
  <c r="B20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<sst xmlns="http://schemas.openxmlformats.org/spreadsheetml/2006/main" count="129" uniqueCount="30">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</sst>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activeCell="E42" sqref="E42"/>
    </sheetView>
  </sheetViews>
  <sheetFormatPr defaultRowHeight="15"/>
  <cols>
    <col min="1" max="1" width="17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12.28515625" customWidth="1"/>
  </cols>
  <sheetData>
    <row r="1" spans="1:5" ht="20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t="s">
        <v>6</v>
      </c>
      <c r="C2">
        <v>12</v>
      </c>
      <c r="D2" s="1">
        <v>6500</v>
      </c>
      <c r="E2" s="1">
        <f>PRODUCT(C2,D2)</f>
        <v>78000</v>
      </c>
    </row>
    <row r="3" spans="1:5">
      <c r="A3" t="s">
        <v>7</v>
      </c>
      <c r="B3" t="s">
        <v>8</v>
      </c>
      <c r="C3">
        <v>10</v>
      </c>
      <c r="D3" s="1">
        <v>4800</v>
      </c>
      <c r="E3" s="1">
        <f t="shared" ref="E3:E15" si="0">PRODUCT(C3,D3)</f>
        <v>48000</v>
      </c>
    </row>
    <row r="4" spans="1:5">
      <c r="A4" t="s">
        <v>5</v>
      </c>
      <c r="B4" t="s">
        <v>9</v>
      </c>
      <c r="C4">
        <v>8</v>
      </c>
      <c r="D4" s="1">
        <v>7800</v>
      </c>
      <c r="E4" s="1">
        <f t="shared" si="0"/>
        <v>62400</v>
      </c>
    </row>
    <row r="5" spans="1:5">
      <c r="A5" t="s">
        <v>10</v>
      </c>
      <c r="B5" t="s">
        <v>11</v>
      </c>
      <c r="C5">
        <v>7</v>
      </c>
      <c r="D5" s="1">
        <v>8500</v>
      </c>
      <c r="E5" s="1">
        <f t="shared" si="0"/>
        <v>59500</v>
      </c>
    </row>
    <row r="6" spans="1:5">
      <c r="A6" t="s">
        <v>10</v>
      </c>
      <c r="B6" t="s">
        <v>12</v>
      </c>
      <c r="C6">
        <v>4</v>
      </c>
      <c r="D6" s="1">
        <v>5000</v>
      </c>
      <c r="E6" s="1">
        <f t="shared" si="0"/>
        <v>20000</v>
      </c>
    </row>
    <row r="7" spans="1:5">
      <c r="A7" t="s">
        <v>13</v>
      </c>
      <c r="B7" t="s">
        <v>14</v>
      </c>
      <c r="C7">
        <v>4</v>
      </c>
      <c r="D7" s="1">
        <v>1800</v>
      </c>
      <c r="E7" s="1">
        <f t="shared" si="0"/>
        <v>7200</v>
      </c>
    </row>
    <row r="8" spans="1:5">
      <c r="A8" t="s">
        <v>13</v>
      </c>
      <c r="B8" t="s">
        <v>15</v>
      </c>
      <c r="C8">
        <v>3</v>
      </c>
      <c r="D8" s="1">
        <v>2600</v>
      </c>
      <c r="E8" s="1">
        <f t="shared" si="0"/>
        <v>7800</v>
      </c>
    </row>
    <row r="9" spans="1:5">
      <c r="A9" t="s">
        <v>13</v>
      </c>
      <c r="B9" t="s">
        <v>16</v>
      </c>
      <c r="C9">
        <v>5</v>
      </c>
      <c r="D9" s="1">
        <v>1200</v>
      </c>
      <c r="E9" s="1">
        <f t="shared" si="0"/>
        <v>6000</v>
      </c>
    </row>
    <row r="10" spans="1:5">
      <c r="A10" t="s">
        <v>7</v>
      </c>
      <c r="B10" t="s">
        <v>17</v>
      </c>
      <c r="C10">
        <v>2</v>
      </c>
      <c r="D10" s="1">
        <v>9400</v>
      </c>
      <c r="E10" s="1">
        <f t="shared" si="0"/>
        <v>18800</v>
      </c>
    </row>
    <row r="11" spans="1:5">
      <c r="A11" t="s">
        <v>5</v>
      </c>
      <c r="B11" t="s">
        <v>18</v>
      </c>
      <c r="C11">
        <v>8</v>
      </c>
      <c r="D11" s="2">
        <v>12000</v>
      </c>
      <c r="E11" s="1">
        <f t="shared" si="0"/>
        <v>96000</v>
      </c>
    </row>
    <row r="12" spans="1:5">
      <c r="A12" t="s">
        <v>19</v>
      </c>
      <c r="B12" t="s">
        <v>20</v>
      </c>
      <c r="C12">
        <v>6</v>
      </c>
      <c r="D12" s="1">
        <v>2500</v>
      </c>
      <c r="E12" s="1">
        <f t="shared" si="0"/>
        <v>15000</v>
      </c>
    </row>
    <row r="13" spans="1:5">
      <c r="A13" t="s">
        <v>19</v>
      </c>
      <c r="B13" t="s">
        <v>21</v>
      </c>
      <c r="C13">
        <v>6</v>
      </c>
      <c r="D13" s="1">
        <v>6500</v>
      </c>
      <c r="E13" s="1">
        <f t="shared" si="0"/>
        <v>39000</v>
      </c>
    </row>
    <row r="14" spans="1:5">
      <c r="A14" t="s">
        <v>7</v>
      </c>
      <c r="B14" t="s">
        <v>22</v>
      </c>
      <c r="C14">
        <v>2</v>
      </c>
      <c r="D14" s="1">
        <v>2400</v>
      </c>
      <c r="E14" s="1">
        <f t="shared" si="0"/>
        <v>4800</v>
      </c>
    </row>
    <row r="15" spans="1:5">
      <c r="A15" t="s">
        <v>5</v>
      </c>
      <c r="B15" t="s">
        <v>23</v>
      </c>
      <c r="C15">
        <v>1</v>
      </c>
      <c r="D15" s="1">
        <v>1800</v>
      </c>
      <c r="E15" s="1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10</v>
      </c>
      <c r="D26" s="1"/>
      <c r="E26" s="1"/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>
      <c r="A31" t="s">
        <v>13</v>
      </c>
      <c r="C31" t="s">
        <v>24</v>
      </c>
    </row>
    <row r="35" spans="1:6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6">
      <c r="B36" t="s">
        <v>14</v>
      </c>
    </row>
    <row r="40" spans="1:6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E33C-A00F-4923-80C0-C22B39893EF4}">
  <dimension ref="A1:E15"/>
  <sheetViews>
    <sheetView workbookViewId="0">
      <selection activeCell="H11" sqref="H11"/>
    </sheetView>
  </sheetViews>
  <sheetFormatPr defaultRowHeight="15"/>
  <cols>
    <col min="2" max="2" width="26" customWidth="1"/>
    <col min="4" max="4" width="13.28515625" customWidth="1"/>
    <col min="5" max="5" width="14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7</v>
      </c>
      <c r="B2" t="s">
        <v>22</v>
      </c>
      <c r="C2">
        <v>2</v>
      </c>
      <c r="D2" s="1">
        <v>2400</v>
      </c>
      <c r="E2" s="1">
        <f>PRODUCT(C2,D2)</f>
        <v>4800</v>
      </c>
    </row>
    <row r="3" spans="1:5">
      <c r="A3" t="s">
        <v>7</v>
      </c>
      <c r="B3" t="s">
        <v>8</v>
      </c>
      <c r="C3">
        <v>10</v>
      </c>
      <c r="D3" s="1">
        <v>4800</v>
      </c>
      <c r="E3" s="1">
        <f>PRODUCT(C3,D3)</f>
        <v>48000</v>
      </c>
    </row>
    <row r="4" spans="1:5">
      <c r="A4" t="s">
        <v>7</v>
      </c>
      <c r="B4" t="s">
        <v>17</v>
      </c>
      <c r="C4">
        <v>2</v>
      </c>
      <c r="D4" s="1">
        <v>9400</v>
      </c>
      <c r="E4" s="1">
        <f>PRODUCT(C4,D4)</f>
        <v>18800</v>
      </c>
    </row>
    <row r="5" spans="1:5">
      <c r="A5" t="s">
        <v>10</v>
      </c>
      <c r="B5" t="s">
        <v>12</v>
      </c>
      <c r="C5">
        <v>4</v>
      </c>
      <c r="D5" s="1">
        <v>5000</v>
      </c>
      <c r="E5" s="1">
        <f>PRODUCT(C5,D5)</f>
        <v>20000</v>
      </c>
    </row>
    <row r="6" spans="1:5">
      <c r="A6" t="s">
        <v>10</v>
      </c>
      <c r="B6" t="s">
        <v>11</v>
      </c>
      <c r="C6">
        <v>7</v>
      </c>
      <c r="D6" s="1">
        <v>8500</v>
      </c>
      <c r="E6" s="1">
        <f>PRODUCT(C6,D6)</f>
        <v>59500</v>
      </c>
    </row>
    <row r="7" spans="1:5">
      <c r="A7" t="s">
        <v>13</v>
      </c>
      <c r="B7" t="s">
        <v>16</v>
      </c>
      <c r="C7">
        <v>5</v>
      </c>
      <c r="D7" s="1">
        <v>1200</v>
      </c>
      <c r="E7" s="1">
        <f>PRODUCT(C7,D7)</f>
        <v>6000</v>
      </c>
    </row>
    <row r="8" spans="1:5">
      <c r="A8" t="s">
        <v>13</v>
      </c>
      <c r="B8" t="s">
        <v>15</v>
      </c>
      <c r="C8">
        <v>3</v>
      </c>
      <c r="D8" s="1">
        <v>2600</v>
      </c>
      <c r="E8" s="1">
        <f>PRODUCT(C8,D8)</f>
        <v>7800</v>
      </c>
    </row>
    <row r="9" spans="1:5">
      <c r="A9" t="s">
        <v>13</v>
      </c>
      <c r="B9" t="s">
        <v>14</v>
      </c>
      <c r="C9">
        <v>4</v>
      </c>
      <c r="D9" s="1">
        <v>1800</v>
      </c>
      <c r="E9" s="1">
        <f>PRODUCT(C9,D9)</f>
        <v>7200</v>
      </c>
    </row>
    <row r="10" spans="1:5">
      <c r="A10" t="s">
        <v>5</v>
      </c>
      <c r="B10" t="s">
        <v>6</v>
      </c>
      <c r="C10">
        <v>12</v>
      </c>
      <c r="D10" s="1">
        <v>6500</v>
      </c>
      <c r="E10" s="1">
        <f>PRODUCT(C10,D10)</f>
        <v>78000</v>
      </c>
    </row>
    <row r="11" spans="1:5">
      <c r="A11" t="s">
        <v>5</v>
      </c>
      <c r="B11" t="s">
        <v>9</v>
      </c>
      <c r="C11">
        <v>8</v>
      </c>
      <c r="D11" s="1">
        <v>7800</v>
      </c>
      <c r="E11" s="1">
        <f>PRODUCT(C11,D11)</f>
        <v>62400</v>
      </c>
    </row>
    <row r="12" spans="1:5">
      <c r="A12" t="s">
        <v>5</v>
      </c>
      <c r="B12" t="s">
        <v>18</v>
      </c>
      <c r="C12">
        <v>8</v>
      </c>
      <c r="D12" s="2">
        <v>12000</v>
      </c>
      <c r="E12" s="1">
        <f>PRODUCT(C12,D12)</f>
        <v>96000</v>
      </c>
    </row>
    <row r="13" spans="1:5">
      <c r="A13" t="s">
        <v>5</v>
      </c>
      <c r="B13" t="s">
        <v>23</v>
      </c>
      <c r="C13">
        <v>1</v>
      </c>
      <c r="D13" s="1">
        <v>1800</v>
      </c>
      <c r="E13" s="1">
        <f>PRODUCT(C13,D13)</f>
        <v>1800</v>
      </c>
    </row>
    <row r="14" spans="1:5">
      <c r="A14" t="s">
        <v>19</v>
      </c>
      <c r="B14" t="s">
        <v>21</v>
      </c>
      <c r="C14">
        <v>6</v>
      </c>
      <c r="D14" s="1">
        <v>6500</v>
      </c>
      <c r="E14" s="1">
        <f>PRODUCT(C14,D14)</f>
        <v>39000</v>
      </c>
    </row>
    <row r="15" spans="1:5">
      <c r="A15" t="s">
        <v>19</v>
      </c>
      <c r="B15" t="s">
        <v>20</v>
      </c>
      <c r="C15">
        <v>6</v>
      </c>
      <c r="D15" s="1">
        <v>2500</v>
      </c>
      <c r="E15" s="1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6504-2E80-4776-9CAD-1C7F41637C1D}">
  <dimension ref="A1:E20"/>
  <sheetViews>
    <sheetView tabSelected="1" workbookViewId="0">
      <selection sqref="A1:E1"/>
    </sheetView>
  </sheetViews>
  <sheetFormatPr defaultRowHeight="15"/>
  <cols>
    <col min="1" max="1" width="19.5703125" bestFit="1" customWidth="1"/>
    <col min="2" max="2" width="23.7109375" customWidth="1"/>
    <col min="4" max="5" width="14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13</v>
      </c>
      <c r="B2" t="s">
        <v>16</v>
      </c>
      <c r="C2">
        <v>5</v>
      </c>
      <c r="D2" s="1">
        <v>1200</v>
      </c>
      <c r="E2" s="1">
        <f>PRODUCT(C2,D2)</f>
        <v>6000</v>
      </c>
    </row>
    <row r="3" spans="1:5">
      <c r="A3" t="s">
        <v>13</v>
      </c>
      <c r="B3" t="s">
        <v>14</v>
      </c>
      <c r="C3">
        <v>4</v>
      </c>
      <c r="D3" s="1">
        <v>1800</v>
      </c>
      <c r="E3" s="1">
        <f>PRODUCT(C3,D3)</f>
        <v>7200</v>
      </c>
    </row>
    <row r="4" spans="1:5">
      <c r="A4" t="s">
        <v>5</v>
      </c>
      <c r="B4" t="s">
        <v>23</v>
      </c>
      <c r="C4">
        <v>1</v>
      </c>
      <c r="D4" s="1">
        <v>1800</v>
      </c>
      <c r="E4" s="1">
        <f>PRODUCT(C4,D4)</f>
        <v>1800</v>
      </c>
    </row>
    <row r="5" spans="1:5">
      <c r="A5" t="s">
        <v>7</v>
      </c>
      <c r="B5" t="s">
        <v>22</v>
      </c>
      <c r="C5">
        <v>2</v>
      </c>
      <c r="D5" s="1">
        <v>2400</v>
      </c>
      <c r="E5" s="1">
        <f>PRODUCT(C5,D5)</f>
        <v>4800</v>
      </c>
    </row>
    <row r="6" spans="1:5">
      <c r="A6" t="s">
        <v>19</v>
      </c>
      <c r="B6" t="s">
        <v>20</v>
      </c>
      <c r="C6">
        <v>6</v>
      </c>
      <c r="D6" s="1">
        <v>2500</v>
      </c>
      <c r="E6" s="1">
        <f>PRODUCT(C6,D6)</f>
        <v>15000</v>
      </c>
    </row>
    <row r="7" spans="1:5">
      <c r="A7" t="s">
        <v>13</v>
      </c>
      <c r="B7" t="s">
        <v>15</v>
      </c>
      <c r="C7">
        <v>3</v>
      </c>
      <c r="D7" s="1">
        <v>2600</v>
      </c>
      <c r="E7" s="1">
        <f>PRODUCT(C7,D7)</f>
        <v>7800</v>
      </c>
    </row>
    <row r="8" spans="1:5">
      <c r="A8" t="s">
        <v>7</v>
      </c>
      <c r="B8" t="s">
        <v>8</v>
      </c>
      <c r="C8">
        <v>10</v>
      </c>
      <c r="D8" s="1">
        <v>4800</v>
      </c>
      <c r="E8" s="1">
        <f>PRODUCT(C8,D8)</f>
        <v>48000</v>
      </c>
    </row>
    <row r="9" spans="1:5">
      <c r="A9" t="s">
        <v>10</v>
      </c>
      <c r="B9" t="s">
        <v>12</v>
      </c>
      <c r="C9">
        <v>4</v>
      </c>
      <c r="D9" s="1">
        <v>5000</v>
      </c>
      <c r="E9" s="1">
        <f>PRODUCT(C9,D9)</f>
        <v>20000</v>
      </c>
    </row>
    <row r="10" spans="1:5">
      <c r="A10" t="s">
        <v>5</v>
      </c>
      <c r="B10" t="s">
        <v>6</v>
      </c>
      <c r="C10">
        <v>12</v>
      </c>
      <c r="D10" s="1">
        <v>6500</v>
      </c>
      <c r="E10" s="1">
        <f>PRODUCT(C10,D10)</f>
        <v>78000</v>
      </c>
    </row>
    <row r="11" spans="1:5">
      <c r="A11" t="s">
        <v>19</v>
      </c>
      <c r="B11" t="s">
        <v>21</v>
      </c>
      <c r="C11">
        <v>6</v>
      </c>
      <c r="D11" s="1">
        <v>6500</v>
      </c>
      <c r="E11" s="1">
        <f>PRODUCT(C11,D11)</f>
        <v>39000</v>
      </c>
    </row>
    <row r="12" spans="1:5">
      <c r="A12" t="s">
        <v>5</v>
      </c>
      <c r="B12" t="s">
        <v>9</v>
      </c>
      <c r="C12">
        <v>8</v>
      </c>
      <c r="D12" s="1">
        <v>7800</v>
      </c>
      <c r="E12" s="1">
        <f>PRODUCT(C12,D12)</f>
        <v>62400</v>
      </c>
    </row>
    <row r="13" spans="1:5">
      <c r="A13" t="s">
        <v>10</v>
      </c>
      <c r="B13" t="s">
        <v>11</v>
      </c>
      <c r="C13">
        <v>7</v>
      </c>
      <c r="D13" s="1">
        <v>8500</v>
      </c>
      <c r="E13" s="1">
        <f>PRODUCT(C13,D13)</f>
        <v>59500</v>
      </c>
    </row>
    <row r="14" spans="1:5">
      <c r="A14" t="s">
        <v>7</v>
      </c>
      <c r="B14" t="s">
        <v>17</v>
      </c>
      <c r="C14">
        <v>2</v>
      </c>
      <c r="D14" s="1">
        <v>9400</v>
      </c>
      <c r="E14" s="1">
        <f>PRODUCT(C14,D14)</f>
        <v>18800</v>
      </c>
    </row>
    <row r="15" spans="1:5">
      <c r="A15" t="s">
        <v>5</v>
      </c>
      <c r="B15" t="s">
        <v>18</v>
      </c>
      <c r="C15">
        <v>8</v>
      </c>
      <c r="D15" s="2">
        <v>12000</v>
      </c>
      <c r="E15" s="1">
        <f>PRODUCT(C15,D15)</f>
        <v>96000</v>
      </c>
    </row>
    <row r="18" spans="1:2">
      <c r="A18" t="s">
        <v>27</v>
      </c>
      <c r="B18">
        <f>SUMIFS(E2:E15,A2:A15,"C",C2:C15,"&lt;10")</f>
        <v>23600</v>
      </c>
    </row>
    <row r="19" spans="1:2">
      <c r="A19" t="s">
        <v>28</v>
      </c>
      <c r="B19">
        <f>COUNTIFS(A2:A15,"R",D2:D15,"&gt;2000",C2:C15,"&lt;4")</f>
        <v>1</v>
      </c>
    </row>
    <row r="20" spans="1:2">
      <c r="A20" t="s">
        <v>29</v>
      </c>
      <c r="B20">
        <f>AVERAGEIFS(E2:E15,B2:B15,"T*",D2:D15,"&lt;12000")</f>
        <v>47400</v>
      </c>
    </row>
  </sheetData>
  <autoFilter ref="A1:E1" xr:uid="{F5966504-2E80-4776-9CAD-1C7F41637C1D}">
    <sortState xmlns:xlrd2="http://schemas.microsoft.com/office/spreadsheetml/2017/richdata2" ref="A2:E15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2026-02-18T00:44:20Z</dcterms:created>
  <dcterms:modified xsi:type="dcterms:W3CDTF">2026-02-18T01:24:37Z</dcterms:modified>
  <cp:category/>
  <cp:contentStatus/>
</cp:coreProperties>
</file>