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25A7D0DB-2161-4BB8-973C-0483D05E4D0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B20" i="3"/>
  <c r="B19" i="3"/>
  <c r="B18" i="3"/>
  <c r="E15" i="3"/>
  <c r="E14" i="3"/>
  <c r="E13" i="3"/>
  <c r="E12" i="3"/>
  <c r="E11" i="3"/>
  <c r="E10" i="3"/>
  <c r="E8" i="3"/>
  <c r="E7" i="3"/>
  <c r="E6" i="3"/>
  <c r="E5" i="3"/>
  <c r="E4" i="3"/>
  <c r="E3" i="3"/>
  <c r="E2" i="3"/>
  <c r="E14" i="2"/>
  <c r="E10" i="2"/>
  <c r="E5" i="2"/>
  <c r="E3" i="2"/>
  <c r="E12" i="2"/>
  <c r="E4" i="2"/>
  <c r="E11" i="2"/>
  <c r="E8" i="2"/>
  <c r="E15" i="2"/>
  <c r="E2" i="2"/>
  <c r="E13" i="2"/>
  <c r="E6" i="2"/>
  <c r="E9" i="2"/>
  <c r="E7" i="2"/>
  <c r="A20" i="1"/>
  <c r="A18" i="1"/>
  <c r="A19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<sst xmlns="http://schemas.openxmlformats.org/spreadsheetml/2006/main" count="129" uniqueCount="30">
  <si>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</si>
  <si>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</si>
  <si>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</si>
  <si>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</si>
  <si>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</si>
  <si>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</si>
  <si>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</si>
  <si>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</si>
  <si>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</si>
  <si>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</si>
  <si>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</si>
  <si>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</si>
  <si>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</si>
  <si>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</si>
  <si>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</si>
  <si>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</si>
  <si>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</si>
  <si>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</si>
  <si>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</si>
  <si>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</si>
  <si>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</si>
  <si>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</si>
  <si>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</si>
  <si>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</si>
  <si>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&gt;=5</t>
  </si>
  <si>
    <t>&gt;4</t>
  </si>
  <si>
    <t>&lt;9</t>
  </si>
  <si>
    <t>Importe Total</t>
  </si>
  <si>
    <t>Contar Producto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</si>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</sst>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2C0A]\ #,##0.00"/>
    <numFmt numFmtId="167" formatCode="[$$-2C0A]\ #,##0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5" fontId="0" fillId="0" borderId="1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16" workbookViewId="0">
      <selection activeCell="E15" sqref="A1:E15"/>
    </sheetView>
  </sheetViews>
  <sheetFormatPr defaultRowHeight="15"/>
  <cols>
    <col min="1" max="1" width="10.42578125" customWidth="1"/>
    <col min="2" max="2" width="27.5703125" customWidth="1"/>
    <col min="3" max="3" width="10.85546875" customWidth="1"/>
    <col min="4" max="4" width="13.140625" customWidth="1"/>
    <col min="5" max="5" width="10.85546875" customWidth="1"/>
    <col min="6" max="6" width="10.7109375" customWidth="1"/>
  </cols>
  <sheetData>
    <row r="1" spans="1:5" ht="15.7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t="s">
        <v>5</v>
      </c>
      <c r="B2" t="s">
        <v>6</v>
      </c>
      <c r="C2">
        <v>5</v>
      </c>
      <c r="D2" s="2">
        <v>1200</v>
      </c>
      <c r="E2" s="2">
        <f>PRODUCT(C2,D2)</f>
        <v>6000</v>
      </c>
    </row>
    <row r="3" spans="1:5">
      <c r="A3" t="s">
        <v>5</v>
      </c>
      <c r="B3" t="s">
        <v>7</v>
      </c>
      <c r="C3">
        <v>4</v>
      </c>
      <c r="D3" s="2">
        <v>1800</v>
      </c>
      <c r="E3" s="2">
        <f t="shared" ref="E3:E15" si="0">PRODUCT(C3,D3)</f>
        <v>7200</v>
      </c>
    </row>
    <row r="4" spans="1:5">
      <c r="A4" t="s">
        <v>8</v>
      </c>
      <c r="B4" t="s">
        <v>9</v>
      </c>
      <c r="C4">
        <v>7</v>
      </c>
      <c r="D4" s="2">
        <v>8500</v>
      </c>
      <c r="E4" s="2">
        <f t="shared" si="0"/>
        <v>59500</v>
      </c>
    </row>
    <row r="5" spans="1:5">
      <c r="A5" t="s">
        <v>10</v>
      </c>
      <c r="B5" t="s">
        <v>11</v>
      </c>
      <c r="C5">
        <v>1</v>
      </c>
      <c r="D5" s="2">
        <v>1800</v>
      </c>
      <c r="E5" s="2">
        <f t="shared" si="0"/>
        <v>1800</v>
      </c>
    </row>
    <row r="6" spans="1:5">
      <c r="A6" t="s">
        <v>12</v>
      </c>
      <c r="B6" t="s">
        <v>13</v>
      </c>
      <c r="C6">
        <v>2</v>
      </c>
      <c r="D6" s="2">
        <v>2400</v>
      </c>
      <c r="E6" s="2">
        <f t="shared" si="0"/>
        <v>4800</v>
      </c>
    </row>
    <row r="7" spans="1:5">
      <c r="A7" t="s">
        <v>14</v>
      </c>
      <c r="B7" t="s">
        <v>15</v>
      </c>
      <c r="C7">
        <v>6</v>
      </c>
      <c r="D7" s="2">
        <v>2500</v>
      </c>
      <c r="E7" s="2">
        <f t="shared" si="0"/>
        <v>15000</v>
      </c>
    </row>
    <row r="8" spans="1:5">
      <c r="A8" t="s">
        <v>5</v>
      </c>
      <c r="B8" t="s">
        <v>16</v>
      </c>
      <c r="C8">
        <v>3</v>
      </c>
      <c r="D8" s="2">
        <v>2600</v>
      </c>
      <c r="E8" s="2">
        <f t="shared" si="0"/>
        <v>7800</v>
      </c>
    </row>
    <row r="9" spans="1:5">
      <c r="A9" t="s">
        <v>10</v>
      </c>
      <c r="B9" t="s">
        <v>17</v>
      </c>
      <c r="C9">
        <v>8</v>
      </c>
      <c r="D9" s="2">
        <v>7800</v>
      </c>
      <c r="E9" s="2">
        <f t="shared" si="0"/>
        <v>62400</v>
      </c>
    </row>
    <row r="10" spans="1:5">
      <c r="A10" t="s">
        <v>12</v>
      </c>
      <c r="B10" t="s">
        <v>18</v>
      </c>
      <c r="C10">
        <v>2</v>
      </c>
      <c r="D10" s="2">
        <v>9400</v>
      </c>
      <c r="E10" s="2">
        <f t="shared" si="0"/>
        <v>18800</v>
      </c>
    </row>
    <row r="11" spans="1:5">
      <c r="A11" t="s">
        <v>10</v>
      </c>
      <c r="B11" t="s">
        <v>19</v>
      </c>
      <c r="C11">
        <v>8</v>
      </c>
      <c r="D11" s="2">
        <v>12000</v>
      </c>
      <c r="E11" s="2">
        <f t="shared" si="0"/>
        <v>96000</v>
      </c>
    </row>
    <row r="12" spans="1:5">
      <c r="A12" t="s">
        <v>12</v>
      </c>
      <c r="B12" t="s">
        <v>20</v>
      </c>
      <c r="C12">
        <v>10</v>
      </c>
      <c r="D12" s="2">
        <v>4800</v>
      </c>
      <c r="E12" s="2">
        <f t="shared" si="0"/>
        <v>48000</v>
      </c>
    </row>
    <row r="13" spans="1:5">
      <c r="A13" t="s">
        <v>8</v>
      </c>
      <c r="B13" t="s">
        <v>21</v>
      </c>
      <c r="C13">
        <v>4</v>
      </c>
      <c r="D13" s="2">
        <v>5000</v>
      </c>
      <c r="E13" s="2">
        <f t="shared" si="0"/>
        <v>20000</v>
      </c>
    </row>
    <row r="14" spans="1:5">
      <c r="A14" t="s">
        <v>10</v>
      </c>
      <c r="B14" t="s">
        <v>22</v>
      </c>
      <c r="C14">
        <v>12</v>
      </c>
      <c r="D14" s="2">
        <v>6500</v>
      </c>
      <c r="E14" s="2">
        <f t="shared" si="0"/>
        <v>78000</v>
      </c>
    </row>
    <row r="15" spans="1:5">
      <c r="A15" t="s">
        <v>14</v>
      </c>
      <c r="B15" t="s">
        <v>23</v>
      </c>
      <c r="C15">
        <v>6</v>
      </c>
      <c r="D15" s="2">
        <v>6500</v>
      </c>
      <c r="E15" s="2">
        <f t="shared" si="0"/>
        <v>39000</v>
      </c>
    </row>
    <row r="17" spans="1:15">
      <c r="A17">
        <f>DMAX(A1:E15,D1,A25:E26)</f>
        <v>8500</v>
      </c>
    </row>
    <row r="18" spans="1:15">
      <c r="A18">
        <f>DSUM(A1:E15,E1,A30:E31)</f>
        <v>6000</v>
      </c>
    </row>
    <row r="19" spans="1:15">
      <c r="A19">
        <f>DGET(A1:E15,D1,A35:E36)</f>
        <v>1800</v>
      </c>
    </row>
    <row r="20" spans="1:15">
      <c r="A20">
        <f>DCOUNTA(A1:E15,B1,A40:F41)</f>
        <v>6</v>
      </c>
    </row>
    <row r="25" spans="1:15">
      <c r="A25" s="3" t="s">
        <v>0</v>
      </c>
      <c r="B25" s="3" t="s">
        <v>1</v>
      </c>
      <c r="C25" s="3" t="s">
        <v>2</v>
      </c>
      <c r="D25" s="4" t="s">
        <v>3</v>
      </c>
      <c r="E25" s="4" t="s">
        <v>4</v>
      </c>
    </row>
    <row r="26" spans="1:15">
      <c r="A26" t="s">
        <v>8</v>
      </c>
    </row>
    <row r="30" spans="1:15">
      <c r="A30" s="3" t="s">
        <v>0</v>
      </c>
      <c r="B30" s="3" t="s">
        <v>1</v>
      </c>
      <c r="C30" s="3" t="s">
        <v>2</v>
      </c>
      <c r="D30" s="4" t="s">
        <v>3</v>
      </c>
      <c r="E30" s="4" t="s">
        <v>4</v>
      </c>
    </row>
    <row r="31" spans="1:15">
      <c r="A31" t="s">
        <v>5</v>
      </c>
      <c r="C31" t="s">
        <v>24</v>
      </c>
      <c r="K31" s="6"/>
      <c r="L31" s="6"/>
      <c r="M31" s="6"/>
      <c r="N31" s="6"/>
      <c r="O31" s="6"/>
    </row>
    <row r="33" spans="1:6">
      <c r="F33" s="8"/>
    </row>
    <row r="34" spans="1:6">
      <c r="A34" s="8"/>
      <c r="B34" s="8"/>
      <c r="C34" s="8"/>
      <c r="D34" s="8"/>
      <c r="E34" s="8"/>
      <c r="F34" s="8"/>
    </row>
    <row r="35" spans="1:6">
      <c r="A35" s="3" t="s">
        <v>0</v>
      </c>
      <c r="B35" s="3" t="s">
        <v>1</v>
      </c>
      <c r="C35" s="3" t="s">
        <v>2</v>
      </c>
      <c r="D35" s="4" t="s">
        <v>3</v>
      </c>
      <c r="E35" s="4" t="s">
        <v>4</v>
      </c>
      <c r="F35" s="8"/>
    </row>
    <row r="36" spans="1:6">
      <c r="B36" s="5" t="s">
        <v>7</v>
      </c>
    </row>
    <row r="40" spans="1:6">
      <c r="A40" s="3" t="s">
        <v>0</v>
      </c>
      <c r="B40" s="3" t="s">
        <v>1</v>
      </c>
      <c r="C40" s="3" t="s">
        <v>2</v>
      </c>
      <c r="D40" s="4" t="s">
        <v>3</v>
      </c>
      <c r="E40" s="4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41D2-5030-41E5-8077-17BA6B1BF09B}">
  <dimension ref="A1:E15"/>
  <sheetViews>
    <sheetView workbookViewId="0">
      <selection activeCell="K9" sqref="K9"/>
    </sheetView>
  </sheetViews>
  <sheetFormatPr defaultRowHeight="15"/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t="s">
        <v>12</v>
      </c>
      <c r="B2" t="s">
        <v>13</v>
      </c>
      <c r="C2">
        <v>2</v>
      </c>
      <c r="D2" s="2">
        <v>2400</v>
      </c>
      <c r="E2" s="2">
        <f>PRODUCT(C2,D2)</f>
        <v>4800</v>
      </c>
    </row>
    <row r="3" spans="1:5">
      <c r="A3" t="s">
        <v>12</v>
      </c>
      <c r="B3" t="s">
        <v>20</v>
      </c>
      <c r="C3">
        <v>10</v>
      </c>
      <c r="D3" s="2">
        <v>4800</v>
      </c>
      <c r="E3" s="2">
        <f>PRODUCT(C3,D3)</f>
        <v>48000</v>
      </c>
    </row>
    <row r="4" spans="1:5">
      <c r="A4" t="s">
        <v>12</v>
      </c>
      <c r="B4" t="s">
        <v>18</v>
      </c>
      <c r="C4">
        <v>2</v>
      </c>
      <c r="D4" s="2">
        <v>9400</v>
      </c>
      <c r="E4" s="2">
        <f>PRODUCT(C4,D4)</f>
        <v>18800</v>
      </c>
    </row>
    <row r="5" spans="1:5">
      <c r="A5" t="s">
        <v>8</v>
      </c>
      <c r="B5" t="s">
        <v>21</v>
      </c>
      <c r="C5">
        <v>4</v>
      </c>
      <c r="D5" s="2">
        <v>5000</v>
      </c>
      <c r="E5" s="2">
        <f>PRODUCT(C5,D5)</f>
        <v>20000</v>
      </c>
    </row>
    <row r="6" spans="1:5">
      <c r="A6" t="s">
        <v>8</v>
      </c>
      <c r="B6" t="s">
        <v>9</v>
      </c>
      <c r="C6">
        <v>7</v>
      </c>
      <c r="D6" s="2">
        <v>8500</v>
      </c>
      <c r="E6" s="2">
        <f>PRODUCT(C6,D6)</f>
        <v>59500</v>
      </c>
    </row>
    <row r="7" spans="1:5">
      <c r="A7" t="s">
        <v>5</v>
      </c>
      <c r="B7" t="s">
        <v>6</v>
      </c>
      <c r="C7">
        <v>5</v>
      </c>
      <c r="D7" s="2">
        <v>1200</v>
      </c>
      <c r="E7" s="2">
        <f>PRODUCT(C7,D7)</f>
        <v>6000</v>
      </c>
    </row>
    <row r="8" spans="1:5">
      <c r="A8" t="s">
        <v>5</v>
      </c>
      <c r="B8" t="s">
        <v>16</v>
      </c>
      <c r="C8">
        <v>3</v>
      </c>
      <c r="D8" s="2">
        <v>2600</v>
      </c>
      <c r="E8" s="2">
        <f>PRODUCT(C8,D8)</f>
        <v>7800</v>
      </c>
    </row>
    <row r="9" spans="1:5">
      <c r="A9" t="s">
        <v>5</v>
      </c>
      <c r="B9" t="s">
        <v>7</v>
      </c>
      <c r="C9">
        <v>4</v>
      </c>
      <c r="D9" s="2">
        <v>1800</v>
      </c>
      <c r="E9" s="2">
        <f>PRODUCT(C9,D9)</f>
        <v>7200</v>
      </c>
    </row>
    <row r="10" spans="1:5">
      <c r="A10" t="s">
        <v>10</v>
      </c>
      <c r="B10" t="s">
        <v>22</v>
      </c>
      <c r="C10">
        <v>12</v>
      </c>
      <c r="D10" s="2">
        <v>6500</v>
      </c>
      <c r="E10" s="2">
        <f>PRODUCT(C10,D10)</f>
        <v>78000</v>
      </c>
    </row>
    <row r="11" spans="1:5">
      <c r="A11" t="s">
        <v>10</v>
      </c>
      <c r="B11" t="s">
        <v>17</v>
      </c>
      <c r="C11">
        <v>8</v>
      </c>
      <c r="D11" s="2">
        <v>7800</v>
      </c>
      <c r="E11" s="2">
        <f>PRODUCT(C11,D11)</f>
        <v>62400</v>
      </c>
    </row>
    <row r="12" spans="1:5">
      <c r="A12" t="s">
        <v>10</v>
      </c>
      <c r="B12" t="s">
        <v>19</v>
      </c>
      <c r="C12">
        <v>8</v>
      </c>
      <c r="D12" s="2">
        <v>12000</v>
      </c>
      <c r="E12" s="2">
        <f>PRODUCT(C12,D12)</f>
        <v>96000</v>
      </c>
    </row>
    <row r="13" spans="1:5">
      <c r="A13" t="s">
        <v>10</v>
      </c>
      <c r="B13" t="s">
        <v>11</v>
      </c>
      <c r="C13">
        <v>1</v>
      </c>
      <c r="D13" s="2">
        <v>1800</v>
      </c>
      <c r="E13" s="2">
        <f>PRODUCT(C13,D13)</f>
        <v>1800</v>
      </c>
    </row>
    <row r="14" spans="1:5">
      <c r="A14" t="s">
        <v>14</v>
      </c>
      <c r="B14" t="s">
        <v>23</v>
      </c>
      <c r="C14">
        <v>6</v>
      </c>
      <c r="D14" s="2">
        <v>6500</v>
      </c>
      <c r="E14" s="2">
        <f>PRODUCT(C14,D14)</f>
        <v>39000</v>
      </c>
    </row>
    <row r="15" spans="1:5">
      <c r="A15" t="s">
        <v>14</v>
      </c>
      <c r="B15" t="s">
        <v>15</v>
      </c>
      <c r="C15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5231-589A-4FC4-8FFD-F6FA7676D08F}">
  <dimension ref="A1:E20"/>
  <sheetViews>
    <sheetView topLeftCell="A21" workbookViewId="0">
      <selection activeCell="C2" sqref="C2"/>
    </sheetView>
  </sheetViews>
  <sheetFormatPr defaultRowHeight="15"/>
  <cols>
    <col min="1" max="1" width="18.7109375" bestFit="1" customWidth="1"/>
    <col min="2" max="2" width="29.5703125" customWidth="1"/>
    <col min="3" max="3" width="10.28515625" bestFit="1" customWidth="1"/>
    <col min="4" max="4" width="12.85546875" bestFit="1" customWidth="1"/>
    <col min="5" max="5" width="12" customWidth="1"/>
  </cols>
  <sheetData>
    <row r="1" spans="1:5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</row>
    <row r="2" spans="1:5">
      <c r="A2" s="7" t="s">
        <v>5</v>
      </c>
      <c r="B2" s="7" t="s">
        <v>6</v>
      </c>
      <c r="C2" s="7">
        <v>5</v>
      </c>
      <c r="D2" s="13">
        <v>1200</v>
      </c>
      <c r="E2" s="13">
        <f>PRODUCT(C2,D2)</f>
        <v>6000</v>
      </c>
    </row>
    <row r="3" spans="1:5">
      <c r="A3" s="7" t="s">
        <v>5</v>
      </c>
      <c r="B3" s="7" t="s">
        <v>7</v>
      </c>
      <c r="C3" s="7">
        <v>4</v>
      </c>
      <c r="D3" s="13">
        <v>1800</v>
      </c>
      <c r="E3" s="13">
        <f t="shared" ref="E3:E15" si="0">PRODUCT(C3,D3)</f>
        <v>7200</v>
      </c>
    </row>
    <row r="4" spans="1:5">
      <c r="A4" s="7" t="s">
        <v>8</v>
      </c>
      <c r="B4" s="7" t="s">
        <v>9</v>
      </c>
      <c r="C4" s="7">
        <v>7</v>
      </c>
      <c r="D4" s="13">
        <v>8500</v>
      </c>
      <c r="E4" s="13">
        <f t="shared" si="0"/>
        <v>59500</v>
      </c>
    </row>
    <row r="5" spans="1:5">
      <c r="A5" s="7" t="s">
        <v>10</v>
      </c>
      <c r="B5" s="7" t="s">
        <v>11</v>
      </c>
      <c r="C5" s="7">
        <v>1</v>
      </c>
      <c r="D5" s="13">
        <v>1800</v>
      </c>
      <c r="E5" s="13">
        <f t="shared" si="0"/>
        <v>1800</v>
      </c>
    </row>
    <row r="6" spans="1:5">
      <c r="A6" s="12" t="s">
        <v>12</v>
      </c>
      <c r="B6" s="12" t="s">
        <v>13</v>
      </c>
      <c r="C6" s="12">
        <v>2</v>
      </c>
      <c r="D6" s="14">
        <v>2400</v>
      </c>
      <c r="E6" s="14">
        <f t="shared" si="0"/>
        <v>4800</v>
      </c>
    </row>
    <row r="7" spans="1:5">
      <c r="A7" s="7" t="s">
        <v>14</v>
      </c>
      <c r="B7" s="7" t="s">
        <v>15</v>
      </c>
      <c r="C7" s="7">
        <v>6</v>
      </c>
      <c r="D7" s="13">
        <v>2500</v>
      </c>
      <c r="E7" s="13">
        <f t="shared" si="0"/>
        <v>15000</v>
      </c>
    </row>
    <row r="8" spans="1:5">
      <c r="A8" s="7" t="s">
        <v>5</v>
      </c>
      <c r="B8" s="7" t="s">
        <v>16</v>
      </c>
      <c r="C8" s="7">
        <v>3</v>
      </c>
      <c r="D8" s="13">
        <v>2600</v>
      </c>
      <c r="E8" s="13">
        <f t="shared" si="0"/>
        <v>7800</v>
      </c>
    </row>
    <row r="9" spans="1:5">
      <c r="A9" s="7" t="s">
        <v>10</v>
      </c>
      <c r="B9" s="7" t="s">
        <v>17</v>
      </c>
      <c r="C9" s="7">
        <v>8</v>
      </c>
      <c r="D9" s="13">
        <v>7800</v>
      </c>
      <c r="E9" s="13">
        <f>PRODUCT(C9,D9)</f>
        <v>62400</v>
      </c>
    </row>
    <row r="10" spans="1:5">
      <c r="A10" s="7" t="s">
        <v>12</v>
      </c>
      <c r="B10" s="7" t="s">
        <v>18</v>
      </c>
      <c r="C10" s="7">
        <v>2</v>
      </c>
      <c r="D10" s="13">
        <v>9400</v>
      </c>
      <c r="E10" s="13">
        <f t="shared" si="0"/>
        <v>18800</v>
      </c>
    </row>
    <row r="11" spans="1:5">
      <c r="A11" s="7" t="s">
        <v>10</v>
      </c>
      <c r="B11" s="7" t="s">
        <v>19</v>
      </c>
      <c r="C11" s="7">
        <v>8</v>
      </c>
      <c r="D11" s="13">
        <v>12000</v>
      </c>
      <c r="E11" s="13">
        <f t="shared" si="0"/>
        <v>96000</v>
      </c>
    </row>
    <row r="12" spans="1:5">
      <c r="A12" s="7" t="s">
        <v>12</v>
      </c>
      <c r="B12" s="7" t="s">
        <v>20</v>
      </c>
      <c r="C12" s="7">
        <v>10</v>
      </c>
      <c r="D12" s="13">
        <v>4800</v>
      </c>
      <c r="E12" s="13">
        <f t="shared" si="0"/>
        <v>48000</v>
      </c>
    </row>
    <row r="13" spans="1:5">
      <c r="A13" s="7" t="s">
        <v>8</v>
      </c>
      <c r="B13" s="7" t="s">
        <v>21</v>
      </c>
      <c r="C13" s="7">
        <v>4</v>
      </c>
      <c r="D13" s="13">
        <v>5000</v>
      </c>
      <c r="E13" s="13">
        <f t="shared" si="0"/>
        <v>20000</v>
      </c>
    </row>
    <row r="14" spans="1:5">
      <c r="A14" s="7" t="s">
        <v>10</v>
      </c>
      <c r="B14" s="7" t="s">
        <v>22</v>
      </c>
      <c r="C14" s="7">
        <v>12</v>
      </c>
      <c r="D14" s="13">
        <v>6500</v>
      </c>
      <c r="E14" s="13">
        <f t="shared" si="0"/>
        <v>78000</v>
      </c>
    </row>
    <row r="15" spans="1:5">
      <c r="A15" s="7" t="s">
        <v>14</v>
      </c>
      <c r="B15" s="7" t="s">
        <v>23</v>
      </c>
      <c r="C15" s="7">
        <v>6</v>
      </c>
      <c r="D15" s="13">
        <v>6500</v>
      </c>
      <c r="E15" s="13">
        <f t="shared" si="0"/>
        <v>39000</v>
      </c>
    </row>
    <row r="18" spans="1:2">
      <c r="A18" s="9" t="s">
        <v>27</v>
      </c>
      <c r="B18">
        <f>SUMIFS(E2:E15,A2:A15,"C",C2:C15,"&lt;10")</f>
        <v>23600</v>
      </c>
    </row>
    <row r="19" spans="1:2">
      <c r="A19" s="9" t="s">
        <v>28</v>
      </c>
      <c r="B19" s="1">
        <f>COUNTIFS(A2:A15,"R",D2:D15,"&gt;2000",C2:C15,"&lt;4")</f>
        <v>1</v>
      </c>
    </row>
    <row r="20" spans="1:2">
      <c r="A20" s="9" t="s">
        <v>29</v>
      </c>
      <c r="B20" s="1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2026-02-19T16:42:25Z</dcterms:created>
  <dcterms:modified xsi:type="dcterms:W3CDTF">2026-02-19T23:30:33Z</dcterms:modified>
  <cp:category/>
  <cp:contentStatus/>
</cp:coreProperties>
</file>