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DRIGUEZ-MARIA LAURA\"/>
    </mc:Choice>
  </mc:AlternateContent>
  <xr:revisionPtr revIDLastSave="0" documentId="8_{264563FA-A56C-4892-896C-C35BE77898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7" i="1"/>
  <c r="I12" i="1"/>
  <c r="I11" i="1"/>
  <c r="I5" i="1"/>
  <c r="I6" i="1"/>
  <c r="I14" i="1"/>
  <c r="I15" i="1"/>
  <c r="I16" i="1"/>
  <c r="I13" i="1"/>
  <c r="H8" i="1"/>
  <c r="H9" i="1"/>
  <c r="H10" i="1"/>
  <c r="H7" i="1"/>
  <c r="H12" i="1"/>
  <c r="H11" i="1"/>
  <c r="H5" i="1"/>
  <c r="H6" i="1"/>
  <c r="H14" i="1"/>
  <c r="H15" i="1"/>
  <c r="H16" i="1"/>
  <c r="H13" i="1"/>
  <c r="G8" i="1"/>
  <c r="G9" i="1"/>
  <c r="G10" i="1"/>
  <c r="G7" i="1"/>
  <c r="G12" i="1"/>
  <c r="G11" i="1"/>
  <c r="G5" i="1"/>
  <c r="G6" i="1"/>
  <c r="G14" i="1"/>
  <c r="G15" i="1"/>
  <c r="G16" i="1"/>
  <c r="G13" i="1"/>
  <c r="F14" i="1"/>
  <c r="F15" i="1"/>
  <c r="F16" i="1"/>
  <c r="F8" i="1"/>
  <c r="F9" i="1"/>
  <c r="F10" i="1"/>
  <c r="F7" i="1"/>
  <c r="F12" i="1"/>
  <c r="F11" i="1"/>
  <c r="F5" i="1"/>
  <c r="F6" i="1"/>
  <c r="F13" i="1"/>
  <c r="C8" i="1"/>
  <c r="C9" i="1"/>
  <c r="C10" i="1"/>
  <c r="C7" i="1"/>
  <c r="C12" i="1"/>
  <c r="C11" i="1"/>
  <c r="C5" i="1"/>
  <c r="C6" i="1"/>
  <c r="C14" i="1"/>
  <c r="C15" i="1"/>
  <c r="C16" i="1"/>
  <c r="C13" i="1"/>
  <c r="B8" i="1"/>
  <c r="B9" i="1"/>
  <c r="B10" i="1"/>
  <c r="B7" i="1"/>
  <c r="B12" i="1"/>
  <c r="B11" i="1"/>
  <c r="B5" i="1"/>
  <c r="B6" i="1"/>
  <c r="B14" i="1"/>
  <c r="B15" i="1"/>
  <c r="B16" i="1"/>
  <c r="B13" i="1"/>
</calcChain>
</file>

<file path=xl/sharedStrings.xml><?xml version="1.0" encoding="utf-8"?>
<sst xmlns="http://schemas.openxmlformats.org/spreadsheetml/2006/main" count="48" uniqueCount="33">
  <si>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</si>
  <si>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</si>
  <si>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</si>
  <si>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</si>
  <si>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</si>
  <si>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</si>
  <si>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</si>
  <si>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</si>
  <si>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las notas</t>
  </si>
  <si>
    <t>Importe de inscripciones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</si>
  <si>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</si>
  <si>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</si>
  <si>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</si>
  <si>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</si>
  <si>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</si>
  <si>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</si>
  <si>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</si>
  <si>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</si>
  <si>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</si>
  <si>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</si>
  <si>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</si>
  <si>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</si>
  <si>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</si>
  <si>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</si>
  <si>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Anatomía I</t>
  </si>
  <si>
    <t>D</t>
  </si>
  <si>
    <t>Biología I</t>
  </si>
  <si>
    <t xml:space="preserve">Enfermería </t>
  </si>
  <si>
    <t>Arancel</t>
  </si>
  <si>
    <t>Derecho</t>
  </si>
  <si>
    <t>Ingieniería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</si>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</sst>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 vertical="center" wrapText="1"/>
    </xf>
    <xf numFmtId="0" fontId="0" fillId="4" borderId="0" xfId="0" applyFill="1" applyBorder="1"/>
    <xf numFmtId="14" fontId="0" fillId="4" borderId="0" xfId="0" applyNumberFormat="1" applyFill="1" applyBorder="1"/>
    <xf numFmtId="0" fontId="0" fillId="4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99"/>
  </sheetPr>
  <dimension ref="A2:I16"/>
  <sheetViews>
    <sheetView tabSelected="1" workbookViewId="0">
      <selection activeCell="K7" sqref="K7"/>
    </sheetView>
  </sheetViews>
  <sheetFormatPr baseColWidth="10" defaultColWidth="8.7265625" defaultRowHeight="14.5" x14ac:dyDescent="0.35"/>
  <cols>
    <col min="2" max="2" width="19.54296875" customWidth="1"/>
    <col min="3" max="3" width="13.54296875" bestFit="1" customWidth="1"/>
    <col min="4" max="4" width="16" bestFit="1" customWidth="1"/>
    <col min="5" max="5" width="16" customWidth="1"/>
    <col min="6" max="6" width="9.54296875" bestFit="1" customWidth="1"/>
    <col min="7" max="7" width="12.7265625" customWidth="1"/>
    <col min="8" max="8" width="22.26953125" customWidth="1"/>
    <col min="9" max="9" width="16.81640625" customWidth="1"/>
  </cols>
  <sheetData>
    <row r="2" spans="1:9" x14ac:dyDescent="0.35">
      <c r="A2" s="4" t="s">
        <v>0</v>
      </c>
      <c r="B2" s="5"/>
      <c r="C2" s="5"/>
      <c r="D2" s="5"/>
      <c r="E2" s="5"/>
      <c r="F2" s="5"/>
      <c r="G2" s="5"/>
      <c r="H2" s="5"/>
      <c r="I2" s="5"/>
    </row>
    <row r="4" spans="1:9" s="1" customFormat="1" ht="41.25" customHeight="1" x14ac:dyDescent="0.3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</row>
    <row r="5" spans="1:9" x14ac:dyDescent="0.35">
      <c r="A5" s="7">
        <v>1420</v>
      </c>
      <c r="B5" s="7" t="str">
        <f>VLOOKUP(A5,MATERIAS!$B$3:$D$15,2,FALSE)</f>
        <v>Derecho Civil</v>
      </c>
      <c r="C5" s="7" t="str">
        <f>VLOOKUP(VLOOKUP(A5,MATERIAS!$B$3:$D$15,3,FALSE),DEPARTAMENTOS!$B$3:$D$7,2,FALSE)</f>
        <v>Derecho</v>
      </c>
      <c r="D5" s="8">
        <v>42564</v>
      </c>
      <c r="E5" s="7">
        <v>136</v>
      </c>
      <c r="F5" s="7" t="str">
        <f t="shared" ref="F5:F16" si="0">IF(E5&lt;150, "BAJA",IF(E5&lt;200,"NORMAL","ALTA"))</f>
        <v>BAJA</v>
      </c>
      <c r="G5" s="9">
        <f t="shared" ref="G5:G16" si="1">IF(AND(E5&lt;180,D5&gt;DATE(2016,7,15)),805,812)</f>
        <v>812</v>
      </c>
      <c r="H5" s="8">
        <f t="shared" ref="H5:H16" si="2">D5+ROUNDUP(E5/10,0)</f>
        <v>42578</v>
      </c>
      <c r="I5" s="7">
        <f>VLOOKUP(VLOOKUP(A5,MATERIAS!$B$3:$D$15,3,FALSE),DEPARTAMENTOS!$B$3:$D$7,3,FALSE)*E5</f>
        <v>29920</v>
      </c>
    </row>
    <row r="6" spans="1:9" x14ac:dyDescent="0.35">
      <c r="A6" s="7">
        <v>1280</v>
      </c>
      <c r="B6" s="7" t="str">
        <f>VLOOKUP(A6,MATERIAS!$B$3:$D$15,2,FALSE)</f>
        <v>Derecho Penal</v>
      </c>
      <c r="C6" s="7" t="str">
        <f>VLOOKUP(VLOOKUP(A6,MATERIAS!$B$3:$D$15,3,FALSE),DEPARTAMENTOS!$B$3:$D$7,2,FALSE)</f>
        <v>Derecho</v>
      </c>
      <c r="D6" s="8">
        <v>42572</v>
      </c>
      <c r="E6" s="7">
        <v>168</v>
      </c>
      <c r="F6" s="7" t="str">
        <f t="shared" si="0"/>
        <v>NORMAL</v>
      </c>
      <c r="G6" s="9">
        <f t="shared" si="1"/>
        <v>805</v>
      </c>
      <c r="H6" s="8">
        <f t="shared" si="2"/>
        <v>42589</v>
      </c>
      <c r="I6" s="7">
        <f>VLOOKUP(VLOOKUP(A6,MATERIAS!$B$3:$D$15,3,FALSE),DEPARTAMENTOS!$B$3:$D$7,3,FALSE)*E6</f>
        <v>36960</v>
      </c>
    </row>
    <row r="7" spans="1:9" x14ac:dyDescent="0.35">
      <c r="A7" s="7">
        <v>1010</v>
      </c>
      <c r="B7" s="7" t="str">
        <f>VLOOKUP(A7,MATERIAS!$B$3:$D$15,2,FALSE)</f>
        <v>Derecho Público</v>
      </c>
      <c r="C7" s="7" t="str">
        <f>VLOOKUP(VLOOKUP(A7,MATERIAS!$B$3:$D$15,3,FALSE),DEPARTAMENTOS!$B$3:$D$7,2,FALSE)</f>
        <v>Derecho</v>
      </c>
      <c r="D7" s="8">
        <v>42569</v>
      </c>
      <c r="E7" s="7">
        <v>202</v>
      </c>
      <c r="F7" s="7" t="str">
        <f t="shared" si="0"/>
        <v>ALTA</v>
      </c>
      <c r="G7" s="9">
        <f t="shared" si="1"/>
        <v>812</v>
      </c>
      <c r="H7" s="8">
        <f t="shared" si="2"/>
        <v>42590</v>
      </c>
      <c r="I7" s="7">
        <f>VLOOKUP(VLOOKUP(A7,MATERIAS!$B$3:$D$15,3,FALSE),DEPARTAMENTOS!$B$3:$D$7,3,FALSE)*E7</f>
        <v>44440</v>
      </c>
    </row>
    <row r="8" spans="1:9" x14ac:dyDescent="0.35">
      <c r="A8" s="7">
        <v>1200</v>
      </c>
      <c r="B8" s="7" t="str">
        <f>VLOOKUP(A8,MATERIAS!$B$3:$D$15,2,FALSE)</f>
        <v>Estadística</v>
      </c>
      <c r="C8" s="7" t="str">
        <f>VLOOKUP(VLOOKUP(A8,MATERIAS!$B$3:$D$15,3,FALSE),DEPARTAMENTOS!$B$3:$D$7,2,FALSE)</f>
        <v>Económicas</v>
      </c>
      <c r="D8" s="8">
        <v>42571</v>
      </c>
      <c r="E8" s="7">
        <v>158</v>
      </c>
      <c r="F8" s="7" t="str">
        <f t="shared" si="0"/>
        <v>NORMAL</v>
      </c>
      <c r="G8" s="9">
        <f t="shared" si="1"/>
        <v>805</v>
      </c>
      <c r="H8" s="8">
        <f t="shared" si="2"/>
        <v>42587</v>
      </c>
      <c r="I8" s="7">
        <f>VLOOKUP(VLOOKUP(A8,MATERIAS!$B$3:$D$15,3,FALSE),DEPARTAMENTOS!$B$3:$D$7,3,FALSE)*E8</f>
        <v>39500</v>
      </c>
    </row>
    <row r="9" spans="1:9" x14ac:dyDescent="0.35">
      <c r="A9" s="7">
        <v>1150</v>
      </c>
      <c r="B9" s="7" t="str">
        <f>VLOOKUP(A9,MATERIAS!$B$3:$D$15,2,FALSE)</f>
        <v>Computación I</v>
      </c>
      <c r="C9" s="7" t="str">
        <f>VLOOKUP(VLOOKUP(A9,MATERIAS!$B$3:$D$15,3,FALSE),DEPARTAMENTOS!$B$3:$D$7,2,FALSE)</f>
        <v>Económicas</v>
      </c>
      <c r="D9" s="8">
        <v>42562</v>
      </c>
      <c r="E9" s="7">
        <v>175</v>
      </c>
      <c r="F9" s="7" t="str">
        <f t="shared" si="0"/>
        <v>NORMAL</v>
      </c>
      <c r="G9" s="9">
        <f t="shared" si="1"/>
        <v>812</v>
      </c>
      <c r="H9" s="8">
        <f t="shared" si="2"/>
        <v>42580</v>
      </c>
      <c r="I9" s="7">
        <f>VLOOKUP(VLOOKUP(A9,MATERIAS!$B$3:$D$15,3,FALSE),DEPARTAMENTOS!$B$3:$D$7,3,FALSE)*E9</f>
        <v>43750</v>
      </c>
    </row>
    <row r="10" spans="1:9" x14ac:dyDescent="0.35">
      <c r="A10" s="7">
        <v>1250</v>
      </c>
      <c r="B10" s="7" t="str">
        <f>VLOOKUP(A10,MATERIAS!$B$3:$D$15,2,FALSE)</f>
        <v>Computación II</v>
      </c>
      <c r="C10" s="7" t="str">
        <f>VLOOKUP(VLOOKUP(A10,MATERIAS!$B$3:$D$15,3,FALSE),DEPARTAMENTOS!$B$3:$D$7,2,FALSE)</f>
        <v>Económicas</v>
      </c>
      <c r="D10" s="8">
        <v>42558</v>
      </c>
      <c r="E10" s="7">
        <v>196</v>
      </c>
      <c r="F10" s="7" t="str">
        <f t="shared" si="0"/>
        <v>NORMAL</v>
      </c>
      <c r="G10" s="9">
        <f t="shared" si="1"/>
        <v>812</v>
      </c>
      <c r="H10" s="8">
        <f t="shared" si="2"/>
        <v>42578</v>
      </c>
      <c r="I10" s="7">
        <f>VLOOKUP(VLOOKUP(A10,MATERIAS!$B$3:$D$15,3,FALSE),DEPARTAMENTOS!$B$3:$D$7,3,FALSE)*E10</f>
        <v>49000</v>
      </c>
    </row>
    <row r="11" spans="1:9" x14ac:dyDescent="0.35">
      <c r="A11" s="7">
        <v>1300</v>
      </c>
      <c r="B11" s="7" t="str">
        <f>VLOOKUP(A11,MATERIAS!$B$3:$D$15,2,FALSE)</f>
        <v>Inglés I</v>
      </c>
      <c r="C11" s="7" t="str">
        <f>VLOOKUP(VLOOKUP(A11,MATERIAS!$B$3:$D$15,3,FALSE),DEPARTAMENTOS!$B$3:$D$7,2,FALSE)</f>
        <v>Económicas</v>
      </c>
      <c r="D11" s="8">
        <v>42578</v>
      </c>
      <c r="E11" s="7">
        <v>215</v>
      </c>
      <c r="F11" s="7" t="str">
        <f t="shared" si="0"/>
        <v>ALTA</v>
      </c>
      <c r="G11" s="9">
        <f t="shared" si="1"/>
        <v>812</v>
      </c>
      <c r="H11" s="8">
        <f t="shared" si="2"/>
        <v>42600</v>
      </c>
      <c r="I11" s="7">
        <f>VLOOKUP(VLOOKUP(A11,MATERIAS!$B$3:$D$15,3,FALSE),DEPARTAMENTOS!$B$3:$D$7,3,FALSE)*E11</f>
        <v>53750</v>
      </c>
    </row>
    <row r="12" spans="1:9" x14ac:dyDescent="0.35">
      <c r="A12" s="7">
        <v>1080</v>
      </c>
      <c r="B12" s="7" t="str">
        <f>VLOOKUP(A12,MATERIAS!$B$3:$D$15,2,FALSE)</f>
        <v>Sistemas Operativos I</v>
      </c>
      <c r="C12" s="7" t="str">
        <f>VLOOKUP(VLOOKUP(A12,MATERIAS!$B$3:$D$15,3,FALSE),DEPARTAMENTOS!$B$3:$D$7,2,FALSE)</f>
        <v>Ingieniería</v>
      </c>
      <c r="D12" s="8">
        <v>42574</v>
      </c>
      <c r="E12" s="7">
        <v>141</v>
      </c>
      <c r="F12" s="7" t="str">
        <f t="shared" si="0"/>
        <v>BAJA</v>
      </c>
      <c r="G12" s="9">
        <f t="shared" si="1"/>
        <v>805</v>
      </c>
      <c r="H12" s="8">
        <f t="shared" si="2"/>
        <v>42589</v>
      </c>
      <c r="I12" s="7">
        <f>VLOOKUP(VLOOKUP(A12,MATERIAS!$B$3:$D$15,3,FALSE),DEPARTAMENTOS!$B$3:$D$7,3,FALSE)*E12</f>
        <v>25380</v>
      </c>
    </row>
    <row r="13" spans="1:9" x14ac:dyDescent="0.35">
      <c r="A13" s="7">
        <v>1120</v>
      </c>
      <c r="B13" s="7" t="str">
        <f>VLOOKUP(A13,MATERIAS!$B$3:$D$15,2,FALSE)</f>
        <v>Análisis Matemático</v>
      </c>
      <c r="C13" s="7" t="str">
        <f>VLOOKUP(VLOOKUP(A13,MATERIAS!$B$3:$D$15,3,FALSE),DEPARTAMENTOS!$B$3:$D$7,2,FALSE)</f>
        <v>Ingieniería</v>
      </c>
      <c r="D13" s="8">
        <v>42566</v>
      </c>
      <c r="E13" s="7">
        <v>232</v>
      </c>
      <c r="F13" s="7" t="str">
        <f t="shared" si="0"/>
        <v>ALTA</v>
      </c>
      <c r="G13" s="9">
        <f t="shared" si="1"/>
        <v>812</v>
      </c>
      <c r="H13" s="8">
        <f t="shared" si="2"/>
        <v>42590</v>
      </c>
      <c r="I13" s="7">
        <f>VLOOKUP(VLOOKUP(A13,MATERIAS!$B$3:$D$15,3,FALSE),DEPARTAMENTOS!$B$3:$D$7,3,FALSE)*E13</f>
        <v>41760</v>
      </c>
    </row>
    <row r="14" spans="1:9" x14ac:dyDescent="0.35">
      <c r="A14" s="7">
        <v>1825</v>
      </c>
      <c r="B14" s="7" t="str">
        <f>VLOOKUP(A14,MATERIAS!$B$3:$D$15,2,FALSE)</f>
        <v>Anatomía I</v>
      </c>
      <c r="C14" s="7" t="str">
        <f>VLOOKUP(VLOOKUP(A14,MATERIAS!$B$3:$D$15,3,FALSE),DEPARTAMENTOS!$B$3:$D$7,2,FALSE)</f>
        <v>Medicina</v>
      </c>
      <c r="D14" s="8">
        <v>42573</v>
      </c>
      <c r="E14" s="7">
        <v>169</v>
      </c>
      <c r="F14" s="7" t="str">
        <f t="shared" si="0"/>
        <v>NORMAL</v>
      </c>
      <c r="G14" s="9">
        <f t="shared" si="1"/>
        <v>805</v>
      </c>
      <c r="H14" s="8">
        <f t="shared" si="2"/>
        <v>42590</v>
      </c>
      <c r="I14" s="7">
        <f>VLOOKUP(VLOOKUP(A14,MATERIAS!$B$3:$D$15,3,FALSE),DEPARTAMENTOS!$B$3:$D$7,3,FALSE)*E14</f>
        <v>50700</v>
      </c>
    </row>
    <row r="15" spans="1:9" x14ac:dyDescent="0.35">
      <c r="A15" s="7">
        <v>1850</v>
      </c>
      <c r="B15" s="7" t="str">
        <f>VLOOKUP(A15,MATERIAS!$B$3:$D$15,2,FALSE)</f>
        <v>Biología I</v>
      </c>
      <c r="C15" s="7" t="str">
        <f>VLOOKUP(VLOOKUP(A15,MATERIAS!$B$3:$D$15,3,FALSE),DEPARTAMENTOS!$B$3:$D$7,2,FALSE)</f>
        <v>Medicina</v>
      </c>
      <c r="D15" s="8">
        <v>42574</v>
      </c>
      <c r="E15" s="7">
        <v>170</v>
      </c>
      <c r="F15" s="7" t="str">
        <f t="shared" si="0"/>
        <v>NORMAL</v>
      </c>
      <c r="G15" s="9">
        <f t="shared" si="1"/>
        <v>805</v>
      </c>
      <c r="H15" s="8">
        <f t="shared" si="2"/>
        <v>42591</v>
      </c>
      <c r="I15" s="7">
        <f>VLOOKUP(VLOOKUP(A15,MATERIAS!$B$3:$D$15,3,FALSE),DEPARTAMENTOS!$B$3:$D$7,3,FALSE)*E15</f>
        <v>51000</v>
      </c>
    </row>
    <row r="16" spans="1:9" x14ac:dyDescent="0.35">
      <c r="A16" s="7">
        <v>1860</v>
      </c>
      <c r="B16" s="7" t="str">
        <f>VLOOKUP(A16,MATERIAS!$B$3:$D$15,2,FALSE)</f>
        <v xml:space="preserve">Enfermería </v>
      </c>
      <c r="C16" s="7" t="str">
        <f>VLOOKUP(VLOOKUP(A16,MATERIAS!$B$3:$D$15,3,FALSE),DEPARTAMENTOS!$B$3:$D$7,2,FALSE)</f>
        <v>Medicina</v>
      </c>
      <c r="D16" s="8">
        <v>42575</v>
      </c>
      <c r="E16" s="7">
        <v>171</v>
      </c>
      <c r="F16" s="7" t="str">
        <f t="shared" si="0"/>
        <v>NORMAL</v>
      </c>
      <c r="G16" s="9">
        <f t="shared" si="1"/>
        <v>805</v>
      </c>
      <c r="H16" s="8">
        <f t="shared" si="2"/>
        <v>42593</v>
      </c>
      <c r="I16" s="7">
        <f>VLOOKUP(VLOOKUP(A16,MATERIAS!$B$3:$D$15,3,FALSE),DEPARTAMENTOS!$B$3:$D$7,3,FALSE)*E16</f>
        <v>51300</v>
      </c>
    </row>
  </sheetData>
  <sortState xmlns:xlrd2="http://schemas.microsoft.com/office/spreadsheetml/2017/richdata2" ref="A5:I16">
    <sortCondition ref="C5:C16"/>
    <sortCondition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3E7F-37FD-4670-A98A-8A6F6D80B8E1}">
  <sheetPr>
    <tabColor rgb="FF00B050"/>
  </sheetPr>
  <dimension ref="B3:D15"/>
  <sheetViews>
    <sheetView workbookViewId="0">
      <selection activeCell="C5" sqref="C5"/>
    </sheetView>
  </sheetViews>
  <sheetFormatPr baseColWidth="10" defaultColWidth="8.7265625" defaultRowHeight="14.5" x14ac:dyDescent="0.35"/>
  <cols>
    <col min="2" max="2" width="12.453125" customWidth="1"/>
    <col min="3" max="3" width="19.54296875" bestFit="1" customWidth="1"/>
    <col min="4" max="4" width="17.81640625" customWidth="1"/>
  </cols>
  <sheetData>
    <row r="3" spans="2:4" s="1" customFormat="1" ht="29" x14ac:dyDescent="0.35">
      <c r="B3" s="3" t="s">
        <v>10</v>
      </c>
      <c r="C3" s="3" t="s">
        <v>2</v>
      </c>
      <c r="D3" s="3" t="s">
        <v>11</v>
      </c>
    </row>
    <row r="4" spans="2:4" x14ac:dyDescent="0.35">
      <c r="B4" s="2">
        <v>1010</v>
      </c>
      <c r="C4" s="2" t="s">
        <v>12</v>
      </c>
      <c r="D4" s="2" t="s">
        <v>13</v>
      </c>
    </row>
    <row r="5" spans="2:4" x14ac:dyDescent="0.35">
      <c r="B5" s="2">
        <v>1280</v>
      </c>
      <c r="C5" s="2" t="s">
        <v>14</v>
      </c>
      <c r="D5" s="2" t="s">
        <v>13</v>
      </c>
    </row>
    <row r="6" spans="2:4" x14ac:dyDescent="0.35">
      <c r="B6" s="2">
        <v>1420</v>
      </c>
      <c r="C6" s="2" t="s">
        <v>15</v>
      </c>
      <c r="D6" s="2" t="s">
        <v>13</v>
      </c>
    </row>
    <row r="7" spans="2:4" x14ac:dyDescent="0.35">
      <c r="B7" s="2">
        <v>1080</v>
      </c>
      <c r="C7" s="2" t="s">
        <v>16</v>
      </c>
      <c r="D7" s="2" t="s">
        <v>17</v>
      </c>
    </row>
    <row r="8" spans="2:4" x14ac:dyDescent="0.35">
      <c r="B8" s="2">
        <v>1120</v>
      </c>
      <c r="C8" s="2" t="s">
        <v>18</v>
      </c>
      <c r="D8" s="2" t="s">
        <v>17</v>
      </c>
    </row>
    <row r="9" spans="2:4" x14ac:dyDescent="0.35">
      <c r="B9" s="2">
        <v>1150</v>
      </c>
      <c r="C9" s="2" t="s">
        <v>19</v>
      </c>
      <c r="D9" s="2" t="s">
        <v>20</v>
      </c>
    </row>
    <row r="10" spans="2:4" x14ac:dyDescent="0.35">
      <c r="B10" s="2">
        <v>1200</v>
      </c>
      <c r="C10" s="2" t="s">
        <v>21</v>
      </c>
      <c r="D10" s="2" t="s">
        <v>20</v>
      </c>
    </row>
    <row r="11" spans="2:4" x14ac:dyDescent="0.35">
      <c r="B11" s="2">
        <v>1250</v>
      </c>
      <c r="C11" s="2" t="s">
        <v>22</v>
      </c>
      <c r="D11" s="2" t="s">
        <v>20</v>
      </c>
    </row>
    <row r="12" spans="2:4" x14ac:dyDescent="0.35">
      <c r="B12" s="2">
        <v>1300</v>
      </c>
      <c r="C12" s="2" t="s">
        <v>23</v>
      </c>
      <c r="D12" s="2" t="s">
        <v>20</v>
      </c>
    </row>
    <row r="13" spans="2:4" x14ac:dyDescent="0.35">
      <c r="B13" s="2">
        <v>1825</v>
      </c>
      <c r="C13" s="2" t="s">
        <v>24</v>
      </c>
      <c r="D13" s="2" t="s">
        <v>25</v>
      </c>
    </row>
    <row r="14" spans="2:4" x14ac:dyDescent="0.35">
      <c r="B14" s="2">
        <v>1850</v>
      </c>
      <c r="C14" s="2" t="s">
        <v>26</v>
      </c>
      <c r="D14" s="2" t="s">
        <v>25</v>
      </c>
    </row>
    <row r="15" spans="2:4" x14ac:dyDescent="0.35">
      <c r="B15" s="2">
        <v>1860</v>
      </c>
      <c r="C15" s="2" t="s">
        <v>27</v>
      </c>
      <c r="D15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8ED1-209D-40E3-9DAF-EFA81A3E7139}">
  <sheetPr>
    <tabColor theme="8" tint="0.39997558519241921"/>
  </sheetPr>
  <dimension ref="B3:D7"/>
  <sheetViews>
    <sheetView workbookViewId="0">
      <selection activeCell="E7" sqref="E7"/>
    </sheetView>
  </sheetViews>
  <sheetFormatPr baseColWidth="10" defaultColWidth="8.7265625" defaultRowHeight="14.5" x14ac:dyDescent="0.35"/>
  <cols>
    <col min="1" max="1" width="16.7265625" bestFit="1" customWidth="1"/>
    <col min="2" max="2" width="16" customWidth="1"/>
    <col min="3" max="3" width="15.54296875" bestFit="1" customWidth="1"/>
  </cols>
  <sheetData>
    <row r="3" spans="2:4" s="1" customFormat="1" ht="29" x14ac:dyDescent="0.35">
      <c r="B3" s="3" t="s">
        <v>11</v>
      </c>
      <c r="C3" s="3" t="s">
        <v>3</v>
      </c>
      <c r="D3" s="3" t="s">
        <v>28</v>
      </c>
    </row>
    <row r="4" spans="2:4" x14ac:dyDescent="0.35">
      <c r="B4" s="2" t="s">
        <v>13</v>
      </c>
      <c r="C4" s="2" t="s">
        <v>29</v>
      </c>
      <c r="D4" s="2">
        <v>220</v>
      </c>
    </row>
    <row r="5" spans="2:4" x14ac:dyDescent="0.35">
      <c r="B5" s="2" t="s">
        <v>17</v>
      </c>
      <c r="C5" s="2" t="s">
        <v>30</v>
      </c>
      <c r="D5" s="2">
        <v>180</v>
      </c>
    </row>
    <row r="6" spans="2:4" x14ac:dyDescent="0.35">
      <c r="B6" s="3" t="s">
        <v>20</v>
      </c>
      <c r="C6" s="2" t="s">
        <v>31</v>
      </c>
      <c r="D6" s="2">
        <v>250</v>
      </c>
    </row>
    <row r="7" spans="2:4" x14ac:dyDescent="0.35">
      <c r="B7" s="2" t="s">
        <v>25</v>
      </c>
      <c r="C7" s="2" t="s">
        <v>32</v>
      </c>
      <c r="D7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INSCRIPCIONES</vt:lpstr>
      <vt:lpstr>MATERIAS</vt:lpstr>
      <vt:lpstr>DEPARTAMENTOS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MARIA LAURA RODRIGUEZ</cp:lastModifiedBy>
  <cp:revision/>
  <dcterms:created xsi:type="dcterms:W3CDTF">2026-02-13T23:08:45Z</dcterms:created>
  <dcterms:modified xsi:type="dcterms:W3CDTF">2026-02-19T10:28:18Z</dcterms:modified>
  <cp:category/>
  <cp:contentStatus/>
</cp:coreProperties>
</file>