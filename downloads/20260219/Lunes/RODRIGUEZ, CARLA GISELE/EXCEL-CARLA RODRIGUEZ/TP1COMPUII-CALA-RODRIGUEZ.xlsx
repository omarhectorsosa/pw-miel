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D6C654FF-40B3-4A02-BFFA-BBD93EE69782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Hoja1" sheetId="4" r:id="rId1"/>
    <sheet name="INSCRIPCIONES " sheetId="1" r:id="rId2"/>
    <sheet name="MATERIAS" sheetId="2" r:id="rId3"/>
    <sheet name="DEPARTAMENTOS" sheetId="3" r:id="rId4"/>
  </sheets>
  <definedNames>
    <definedName name="maerias">MATERIAS!$B$3:$C$15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4" i="2"/>
  <c r="G6" i="1"/>
  <c r="G7" i="1"/>
  <c r="G8" i="1"/>
  <c r="G9" i="1"/>
  <c r="G10" i="1"/>
  <c r="G11" i="1"/>
  <c r="G12" i="1"/>
  <c r="G13" i="1"/>
  <c r="G14" i="1"/>
  <c r="G15" i="1"/>
  <c r="G16" i="1"/>
  <c r="F6" i="1"/>
  <c r="F7" i="1"/>
  <c r="F8" i="1"/>
  <c r="F9" i="1"/>
  <c r="F10" i="1"/>
  <c r="F11" i="1"/>
  <c r="F12" i="1"/>
  <c r="F13" i="1"/>
  <c r="F14" i="1"/>
  <c r="F15" i="1"/>
  <c r="F16" i="1"/>
  <c r="H6" i="1"/>
  <c r="H7" i="1"/>
  <c r="H8" i="1"/>
  <c r="H9" i="1"/>
  <c r="H10" i="1"/>
  <c r="H11" i="1"/>
  <c r="H12" i="1"/>
  <c r="H13" i="1"/>
  <c r="H14" i="1"/>
  <c r="H15" i="1"/>
  <c r="H16" i="1"/>
</calcChain>
</file>

<file path=xl/sharedStrings.xml><?xml version="1.0" encoding="utf-8"?>
<sst xmlns="http://schemas.openxmlformats.org/spreadsheetml/2006/main" count="48" uniqueCount="43">
  <si>
    <t xml:space="preserve">carla rodriguez </t>
  </si>
  <si>
    <t>dni 39159087</t>
  </si>
  <si>
    <t xml:space="preserve">codigo de materia </t>
  </si>
  <si>
    <t>materias</t>
  </si>
  <si>
    <t>departamento</t>
  </si>
  <si>
    <t>fechas de examen</t>
  </si>
  <si>
    <t>cantidad de inscripctos</t>
  </si>
  <si>
    <t xml:space="preserve">condicion </t>
  </si>
  <si>
    <t xml:space="preserve">aula asignada </t>
  </si>
  <si>
    <t xml:space="preserve">publicacion de las notas </t>
  </si>
  <si>
    <t xml:space="preserve">importe de inscripciones </t>
  </si>
  <si>
    <t xml:space="preserve">Derecho publico </t>
  </si>
  <si>
    <t xml:space="preserve">sistemas operativos </t>
  </si>
  <si>
    <t>inglés</t>
  </si>
  <si>
    <t>derecho civil</t>
  </si>
  <si>
    <t>derecho penal</t>
  </si>
  <si>
    <t>anatomia I</t>
  </si>
  <si>
    <t xml:space="preserve">biologia </t>
  </si>
  <si>
    <t xml:space="preserve">enfermeria </t>
  </si>
  <si>
    <t>CODIGO DE DEPARTAMENTO</t>
  </si>
  <si>
    <t xml:space="preserve">materias </t>
  </si>
  <si>
    <t>Codigo de departamentos</t>
  </si>
  <si>
    <t>Derecho Penal</t>
  </si>
  <si>
    <t>Derecho Civil</t>
  </si>
  <si>
    <t xml:space="preserve">Sistemas Opertaivos </t>
  </si>
  <si>
    <t xml:space="preserve">Análisis Matematico </t>
  </si>
  <si>
    <t>Computacion i</t>
  </si>
  <si>
    <t>Estadistica</t>
  </si>
  <si>
    <t>Computación II</t>
  </si>
  <si>
    <t>Inglés</t>
  </si>
  <si>
    <t>Anatomia I</t>
  </si>
  <si>
    <t>Biologia</t>
  </si>
  <si>
    <t>Enfermeria</t>
  </si>
  <si>
    <t>código de departamento</t>
  </si>
  <si>
    <t xml:space="preserve">departamento </t>
  </si>
  <si>
    <t>A</t>
  </si>
  <si>
    <t>derecho</t>
  </si>
  <si>
    <t>B</t>
  </si>
  <si>
    <t>ingeneria</t>
  </si>
  <si>
    <t>C</t>
  </si>
  <si>
    <t>economicas</t>
  </si>
  <si>
    <t>D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</si>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</sst>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806B-661E-46A9-8F6B-D09DFC4F1410}">
  <dimension ref="A1:A2"/>
  <sheetViews>
    <sheetView workbookViewId="0">
      <selection activeCell="A2" sqref="A2"/>
    </sheetView>
  </sheetViews>
  <sheetFormatPr defaultRowHeight="15"/>
  <cols>
    <col min="1" max="1" width="13.85546875" bestFit="1" customWidth="1"/>
  </cols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4:I16"/>
  <sheetViews>
    <sheetView workbookViewId="0">
      <selection activeCell="C2" sqref="C2"/>
    </sheetView>
  </sheetViews>
  <sheetFormatPr defaultRowHeight="15"/>
  <cols>
    <col min="1" max="1" width="13.5703125" customWidth="1"/>
    <col min="2" max="2" width="33.85546875" bestFit="1" customWidth="1"/>
    <col min="3" max="3" width="13.7109375" customWidth="1"/>
    <col min="4" max="4" width="11.42578125" customWidth="1"/>
    <col min="5" max="5" width="12.7109375" customWidth="1"/>
    <col min="6" max="7" width="36.5703125" bestFit="1" customWidth="1"/>
    <col min="8" max="8" width="12.5703125" customWidth="1"/>
    <col min="9" max="9" width="14.85546875" customWidth="1"/>
  </cols>
  <sheetData>
    <row r="4" spans="1:9" ht="30" customHeight="1">
      <c r="A4" s="2" t="s">
        <v>2</v>
      </c>
      <c r="B4" s="2" t="s">
        <v>3</v>
      </c>
      <c r="C4" s="2" t="s">
        <v>4</v>
      </c>
      <c r="D4" s="2" t="s">
        <v>5</v>
      </c>
      <c r="E4" s="3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>
      <c r="A5">
        <v>1120</v>
      </c>
      <c r="B5" t="s">
        <v>11</v>
      </c>
      <c r="C5">
        <v>2</v>
      </c>
      <c r="D5" s="1">
        <v>42566</v>
      </c>
      <c r="E5">
        <v>232</v>
      </c>
      <c r="F5" s="4">
        <v>3</v>
      </c>
      <c r="G5" s="4">
        <v>4</v>
      </c>
      <c r="H5" s="1">
        <v>5</v>
      </c>
      <c r="I5">
        <v>6</v>
      </c>
    </row>
    <row r="6" spans="1:9">
      <c r="A6">
        <v>1200</v>
      </c>
      <c r="B6" t="s">
        <v>11</v>
      </c>
      <c r="C6">
        <v>2</v>
      </c>
      <c r="D6" s="1">
        <v>42571</v>
      </c>
      <c r="E6">
        <v>158</v>
      </c>
      <c r="F6" s="4" t="str">
        <f t="shared" ref="F6:F16" si="0">IF(E6&gt;200,"ALTO",IF(E6&lt;150,"BAJO","MEDIO"))</f>
        <v>MEDIO</v>
      </c>
      <c r="G6" s="4">
        <f t="shared" ref="G6:G16" si="1">IF(AND(E6&lt;180,D6&gt;DATE(15,7,2016)),805,812)</f>
        <v>805</v>
      </c>
      <c r="H6" s="1">
        <f t="shared" ref="H6:H16" si="2">D6+ROUNDUP(E6/10,0)</f>
        <v>42587</v>
      </c>
      <c r="I6">
        <v>6</v>
      </c>
    </row>
    <row r="7" spans="1:9">
      <c r="A7">
        <v>1150</v>
      </c>
      <c r="B7" t="s">
        <v>11</v>
      </c>
      <c r="C7">
        <v>2</v>
      </c>
      <c r="D7" s="1">
        <v>42562</v>
      </c>
      <c r="E7">
        <v>175</v>
      </c>
      <c r="F7" s="4" t="str">
        <f t="shared" si="0"/>
        <v>MEDIO</v>
      </c>
      <c r="G7" s="4">
        <f t="shared" si="1"/>
        <v>805</v>
      </c>
      <c r="H7" s="1">
        <f t="shared" si="2"/>
        <v>42580</v>
      </c>
      <c r="I7">
        <v>6</v>
      </c>
    </row>
    <row r="8" spans="1:9">
      <c r="A8">
        <v>1250</v>
      </c>
      <c r="B8" t="s">
        <v>11</v>
      </c>
      <c r="C8">
        <v>2</v>
      </c>
      <c r="D8" s="1">
        <v>42558</v>
      </c>
      <c r="E8">
        <v>196</v>
      </c>
      <c r="F8" s="4" t="str">
        <f t="shared" si="0"/>
        <v>MEDIO</v>
      </c>
      <c r="G8" s="4">
        <f t="shared" si="1"/>
        <v>812</v>
      </c>
      <c r="H8" s="1">
        <f t="shared" si="2"/>
        <v>42578</v>
      </c>
      <c r="I8">
        <v>6</v>
      </c>
    </row>
    <row r="9" spans="1:9">
      <c r="A9">
        <v>1010</v>
      </c>
      <c r="B9" t="s">
        <v>11</v>
      </c>
      <c r="C9">
        <v>2</v>
      </c>
      <c r="D9" s="1">
        <v>42569</v>
      </c>
      <c r="E9">
        <v>202</v>
      </c>
      <c r="F9" s="4" t="str">
        <f t="shared" si="0"/>
        <v>ALTO</v>
      </c>
      <c r="G9" s="4">
        <f t="shared" si="1"/>
        <v>812</v>
      </c>
      <c r="H9" s="1">
        <f t="shared" si="2"/>
        <v>42590</v>
      </c>
      <c r="I9">
        <v>6</v>
      </c>
    </row>
    <row r="10" spans="1:9">
      <c r="A10">
        <v>1080</v>
      </c>
      <c r="B10" t="s">
        <v>12</v>
      </c>
      <c r="C10">
        <v>2</v>
      </c>
      <c r="D10" s="1">
        <v>42574</v>
      </c>
      <c r="E10">
        <v>141</v>
      </c>
      <c r="F10" s="4" t="str">
        <f t="shared" si="0"/>
        <v>BAJO</v>
      </c>
      <c r="G10" s="4">
        <f t="shared" si="1"/>
        <v>805</v>
      </c>
      <c r="H10" s="1">
        <f t="shared" si="2"/>
        <v>42589</v>
      </c>
      <c r="I10">
        <v>6</v>
      </c>
    </row>
    <row r="11" spans="1:9">
      <c r="A11">
        <v>1300</v>
      </c>
      <c r="B11" t="s">
        <v>13</v>
      </c>
      <c r="C11">
        <v>2</v>
      </c>
      <c r="D11" s="1">
        <v>42578</v>
      </c>
      <c r="E11">
        <v>215</v>
      </c>
      <c r="F11" s="4" t="str">
        <f t="shared" si="0"/>
        <v>ALTO</v>
      </c>
      <c r="G11" s="4">
        <f t="shared" si="1"/>
        <v>812</v>
      </c>
      <c r="H11" s="1">
        <f t="shared" si="2"/>
        <v>42600</v>
      </c>
      <c r="I11">
        <v>6</v>
      </c>
    </row>
    <row r="12" spans="1:9">
      <c r="A12">
        <v>1420</v>
      </c>
      <c r="B12" t="s">
        <v>14</v>
      </c>
      <c r="C12">
        <v>2</v>
      </c>
      <c r="D12" s="1">
        <v>42564</v>
      </c>
      <c r="E12">
        <v>136</v>
      </c>
      <c r="F12" s="4" t="str">
        <f t="shared" si="0"/>
        <v>BAJO</v>
      </c>
      <c r="G12" s="4">
        <f t="shared" si="1"/>
        <v>805</v>
      </c>
      <c r="H12" s="1">
        <f t="shared" si="2"/>
        <v>42578</v>
      </c>
      <c r="I12">
        <v>6</v>
      </c>
    </row>
    <row r="13" spans="1:9">
      <c r="A13">
        <v>1280</v>
      </c>
      <c r="B13" t="s">
        <v>15</v>
      </c>
      <c r="C13">
        <v>2</v>
      </c>
      <c r="D13" s="1">
        <v>42572</v>
      </c>
      <c r="E13">
        <v>168</v>
      </c>
      <c r="F13" s="4" t="str">
        <f t="shared" si="0"/>
        <v>MEDIO</v>
      </c>
      <c r="G13" s="4">
        <f t="shared" si="1"/>
        <v>805</v>
      </c>
      <c r="H13" s="1">
        <f t="shared" si="2"/>
        <v>42589</v>
      </c>
      <c r="I13">
        <v>6</v>
      </c>
    </row>
    <row r="14" spans="1:9">
      <c r="A14">
        <v>1825</v>
      </c>
      <c r="B14" t="s">
        <v>16</v>
      </c>
      <c r="C14">
        <v>2</v>
      </c>
      <c r="D14" s="1">
        <v>42573</v>
      </c>
      <c r="E14">
        <v>169</v>
      </c>
      <c r="F14" s="4" t="str">
        <f t="shared" si="0"/>
        <v>MEDIO</v>
      </c>
      <c r="G14" s="4">
        <f t="shared" si="1"/>
        <v>805</v>
      </c>
      <c r="H14" s="1">
        <f t="shared" si="2"/>
        <v>42590</v>
      </c>
      <c r="I14">
        <v>6</v>
      </c>
    </row>
    <row r="15" spans="1:9">
      <c r="A15">
        <v>1850</v>
      </c>
      <c r="B15" t="s">
        <v>17</v>
      </c>
      <c r="C15">
        <v>2</v>
      </c>
      <c r="D15" s="1">
        <v>42574</v>
      </c>
      <c r="E15">
        <v>170</v>
      </c>
      <c r="F15" s="4" t="str">
        <f t="shared" si="0"/>
        <v>MEDIO</v>
      </c>
      <c r="G15" s="4">
        <f t="shared" si="1"/>
        <v>805</v>
      </c>
      <c r="H15" s="1">
        <f t="shared" si="2"/>
        <v>42591</v>
      </c>
      <c r="I15">
        <v>6</v>
      </c>
    </row>
    <row r="16" spans="1:9">
      <c r="A16">
        <v>1860</v>
      </c>
      <c r="B16" t="s">
        <v>18</v>
      </c>
      <c r="C16">
        <v>2</v>
      </c>
      <c r="D16" s="1">
        <v>42575</v>
      </c>
      <c r="E16">
        <v>171</v>
      </c>
      <c r="F16" s="4" t="str">
        <f t="shared" si="0"/>
        <v>MEDIO</v>
      </c>
      <c r="G16" s="4">
        <f t="shared" si="1"/>
        <v>805</v>
      </c>
      <c r="H16" s="1">
        <f t="shared" si="2"/>
        <v>42593</v>
      </c>
      <c r="I16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B3C3-B0F3-4C96-AFCE-331D882AE880}">
  <sheetPr>
    <tabColor rgb="FFFFC000"/>
  </sheetPr>
  <dimension ref="B3:D15"/>
  <sheetViews>
    <sheetView workbookViewId="0">
      <selection activeCell="B3" sqref="B3:D3"/>
    </sheetView>
  </sheetViews>
  <sheetFormatPr defaultRowHeight="15"/>
  <cols>
    <col min="2" max="2" width="18.42578125" customWidth="1"/>
    <col min="3" max="3" width="17.85546875" customWidth="1"/>
    <col min="4" max="4" width="18.5703125" customWidth="1"/>
  </cols>
  <sheetData>
    <row r="3" spans="2:4" ht="29.25">
      <c r="B3" s="8" t="s">
        <v>19</v>
      </c>
      <c r="C3" s="7" t="s">
        <v>20</v>
      </c>
      <c r="D3" s="8" t="s">
        <v>21</v>
      </c>
    </row>
    <row r="4" spans="2:4">
      <c r="B4" s="6">
        <v>1010</v>
      </c>
      <c r="C4" s="6" t="s">
        <v>11</v>
      </c>
      <c r="D4" s="6">
        <f>VLOOKUP(B4,$B$3:$D$15,1,0)</f>
        <v>1010</v>
      </c>
    </row>
    <row r="5" spans="2:4">
      <c r="B5" s="6">
        <v>1280</v>
      </c>
      <c r="C5" s="6" t="s">
        <v>22</v>
      </c>
      <c r="D5" s="6">
        <f t="shared" ref="D5:D15" si="0">VLOOKUP(B5,$B$3:$D$15,1,0)</f>
        <v>1280</v>
      </c>
    </row>
    <row r="6" spans="2:4">
      <c r="B6" s="6">
        <v>1420</v>
      </c>
      <c r="C6" s="6" t="s">
        <v>23</v>
      </c>
      <c r="D6" s="6">
        <f t="shared" si="0"/>
        <v>1420</v>
      </c>
    </row>
    <row r="7" spans="2:4" ht="29.25">
      <c r="B7" s="9">
        <v>1080</v>
      </c>
      <c r="C7" s="10" t="s">
        <v>24</v>
      </c>
      <c r="D7" s="9">
        <f t="shared" si="0"/>
        <v>1080</v>
      </c>
    </row>
    <row r="8" spans="2:4" ht="29.25">
      <c r="B8" s="6">
        <v>1120</v>
      </c>
      <c r="C8" s="5" t="s">
        <v>25</v>
      </c>
      <c r="D8" s="6">
        <f t="shared" si="0"/>
        <v>1120</v>
      </c>
    </row>
    <row r="9" spans="2:4">
      <c r="B9" s="6">
        <v>1150</v>
      </c>
      <c r="C9" s="6" t="s">
        <v>26</v>
      </c>
      <c r="D9" s="6">
        <f t="shared" si="0"/>
        <v>1150</v>
      </c>
    </row>
    <row r="10" spans="2:4">
      <c r="B10" s="6">
        <v>1200</v>
      </c>
      <c r="C10" s="6" t="s">
        <v>27</v>
      </c>
      <c r="D10" s="6">
        <f t="shared" si="0"/>
        <v>1200</v>
      </c>
    </row>
    <row r="11" spans="2:4">
      <c r="B11" s="6">
        <v>1250</v>
      </c>
      <c r="C11" s="6" t="s">
        <v>28</v>
      </c>
      <c r="D11" s="6">
        <f t="shared" si="0"/>
        <v>1250</v>
      </c>
    </row>
    <row r="12" spans="2:4">
      <c r="B12" s="6">
        <v>1300</v>
      </c>
      <c r="C12" s="6" t="s">
        <v>29</v>
      </c>
      <c r="D12" s="6">
        <f t="shared" si="0"/>
        <v>1300</v>
      </c>
    </row>
    <row r="13" spans="2:4">
      <c r="B13" s="6">
        <v>1825</v>
      </c>
      <c r="C13" s="6" t="s">
        <v>30</v>
      </c>
      <c r="D13" s="6">
        <f t="shared" si="0"/>
        <v>1825</v>
      </c>
    </row>
    <row r="14" spans="2:4">
      <c r="B14" s="6">
        <v>1850</v>
      </c>
      <c r="C14" s="6" t="s">
        <v>31</v>
      </c>
      <c r="D14" s="6">
        <f t="shared" si="0"/>
        <v>1850</v>
      </c>
    </row>
    <row r="15" spans="2:4">
      <c r="B15" s="6">
        <v>1860</v>
      </c>
      <c r="C15" s="6" t="s">
        <v>32</v>
      </c>
      <c r="D15" s="6">
        <f t="shared" si="0"/>
        <v>1860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4BDE-BF0D-4700-BAE1-6C0174D68DA2}">
  <sheetPr>
    <tabColor rgb="FF92D050"/>
  </sheetPr>
  <dimension ref="B3:D7"/>
  <sheetViews>
    <sheetView tabSelected="1" workbookViewId="0">
      <selection activeCell="C7" sqref="C7"/>
    </sheetView>
  </sheetViews>
  <sheetFormatPr defaultRowHeight="15"/>
  <cols>
    <col min="2" max="2" width="21.7109375" bestFit="1" customWidth="1"/>
    <col min="3" max="3" width="13.42578125" bestFit="1" customWidth="1"/>
  </cols>
  <sheetData>
    <row r="3" spans="2:4">
      <c r="B3" t="s">
        <v>33</v>
      </c>
      <c r="C3" t="s">
        <v>34</v>
      </c>
    </row>
    <row r="4" spans="2:4">
      <c r="B4" t="s">
        <v>35</v>
      </c>
      <c r="C4" t="s">
        <v>36</v>
      </c>
      <c r="D4">
        <v>220</v>
      </c>
    </row>
    <row r="5" spans="2:4">
      <c r="B5" t="s">
        <v>37</v>
      </c>
      <c r="C5" t="s">
        <v>38</v>
      </c>
      <c r="D5">
        <v>180</v>
      </c>
    </row>
    <row r="6" spans="2:4">
      <c r="B6" t="s">
        <v>39</v>
      </c>
      <c r="C6" t="s">
        <v>40</v>
      </c>
      <c r="D6">
        <v>250</v>
      </c>
    </row>
    <row r="7" spans="2:4">
      <c r="B7" t="s">
        <v>41</v>
      </c>
      <c r="C7" t="s">
        <v>42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2025-12-20T23:34:04Z</dcterms:created>
  <dcterms:modified xsi:type="dcterms:W3CDTF">2026-02-19T15:02:12Z</dcterms:modified>
  <cp:category/>
  <cp:contentStatus/>
</cp:coreProperties>
</file>