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454E9EEA-3B8D-42EB-9633-248071A6D51A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datos" sheetId="4" r:id="rId1"/>
    <sheet name="Hoja1" sheetId="1" r:id="rId2"/>
    <sheet name="Hoja2" sheetId="2" r:id="rId3"/>
    <sheet name="Hoja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B20" i="3"/>
  <c r="B19" i="3"/>
  <c r="E2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19" i="1"/>
  <c r="A17" i="1"/>
  <c r="E3" i="1"/>
  <c r="E4" i="1"/>
  <c r="E5" i="1"/>
  <c r="E6" i="1"/>
  <c r="E7" i="1"/>
  <c r="E8" i="1"/>
  <c r="E9" i="1"/>
  <c r="A18" i="1" s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<sst xmlns="http://schemas.openxmlformats.org/spreadsheetml/2006/main" count="131" uniqueCount="33">
  <si>
    <t>carla rodriguez</t>
  </si>
  <si>
    <t>dni39159087</t>
  </si>
  <si>
    <t>CODIGO</t>
  </si>
  <si>
    <t xml:space="preserve">DESCRIPCION </t>
  </si>
  <si>
    <t xml:space="preserve">CANTIDAD 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</si>
  <si>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</si>
  <si>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</si>
  <si>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</si>
  <si>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</si>
  <si>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</si>
  <si>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</si>
  <si>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</si>
  <si>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</si>
  <si>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 ,con frezzer</t>
  </si>
  <si>
    <t>Frezzer carga superior</t>
  </si>
  <si>
    <t>R</t>
  </si>
  <si>
    <t>Radion onda corta</t>
  </si>
  <si>
    <t>Radio con CD y p3</t>
  </si>
  <si>
    <t xml:space="preserve">Radio AM/FM 3 bandas </t>
  </si>
  <si>
    <t>Cocina industrial 6 hornallas</t>
  </si>
  <si>
    <t xml:space="preserve">Televisor 42"LED </t>
  </si>
  <si>
    <t>V</t>
  </si>
  <si>
    <t>Ventilador 25"giratorio</t>
  </si>
  <si>
    <t>Aire acondicionado F/C</t>
  </si>
  <si>
    <t xml:space="preserve">Anafe 2 hornallas </t>
  </si>
  <si>
    <t>TV portatil (12v)</t>
  </si>
  <si>
    <t>&gt;=5</t>
  </si>
  <si>
    <t>cantidad</t>
  </si>
  <si>
    <t>&gt;4</t>
  </si>
  <si>
    <t>&lt;9</t>
  </si>
  <si>
    <t>Importe total</t>
  </si>
  <si>
    <t>promedio</t>
  </si>
  <si>
    <t>promedio del importe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</si>
</sst>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4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164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4FB4-B43F-4EED-B3EB-E5D049A792C8}">
  <dimension ref="A1:A2"/>
  <sheetViews>
    <sheetView workbookViewId="0"/>
  </sheetViews>
  <sheetFormatPr defaultRowHeight="15"/>
  <cols>
    <col min="1" max="1" width="13.85546875" bestFit="1" customWidth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A10" workbookViewId="0">
      <selection activeCell="C20" sqref="C20"/>
    </sheetView>
  </sheetViews>
  <sheetFormatPr defaultRowHeight="15"/>
  <cols>
    <col min="1" max="1" width="12.7109375" customWidth="1"/>
    <col min="2" max="2" width="28" customWidth="1"/>
    <col min="3" max="3" width="19.140625" customWidth="1"/>
    <col min="4" max="4" width="15.140625" customWidth="1"/>
    <col min="5" max="5" width="14.85546875" customWidth="1"/>
  </cols>
  <sheetData>
    <row r="1" spans="1:5" ht="15.7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 s="2" t="s">
        <v>7</v>
      </c>
      <c r="B2" s="2" t="s">
        <v>8</v>
      </c>
      <c r="C2" s="2">
        <v>12</v>
      </c>
      <c r="D2" s="3">
        <v>6500</v>
      </c>
      <c r="E2" s="6">
        <f>PRODUCT(C2:D2)</f>
        <v>78000</v>
      </c>
    </row>
    <row r="3" spans="1:5">
      <c r="A3" s="2" t="s">
        <v>9</v>
      </c>
      <c r="B3" s="2" t="s">
        <v>10</v>
      </c>
      <c r="C3" s="2">
        <v>10</v>
      </c>
      <c r="D3" s="5">
        <v>4800</v>
      </c>
      <c r="E3" s="6">
        <f t="shared" ref="E3:E15" si="0">PRODUCT(C3:D3)</f>
        <v>48000</v>
      </c>
    </row>
    <row r="4" spans="1:5">
      <c r="A4" s="2" t="s">
        <v>7</v>
      </c>
      <c r="B4" s="2" t="s">
        <v>11</v>
      </c>
      <c r="C4" s="2">
        <v>8</v>
      </c>
      <c r="D4" s="4">
        <v>7800</v>
      </c>
      <c r="E4" s="6">
        <f t="shared" si="0"/>
        <v>62400</v>
      </c>
    </row>
    <row r="5" spans="1:5">
      <c r="A5" s="2" t="s">
        <v>12</v>
      </c>
      <c r="B5" s="2" t="s">
        <v>13</v>
      </c>
      <c r="C5" s="2">
        <v>7</v>
      </c>
      <c r="D5" s="4">
        <v>8500</v>
      </c>
      <c r="E5" s="6">
        <f t="shared" si="0"/>
        <v>59500</v>
      </c>
    </row>
    <row r="6" spans="1:5">
      <c r="A6" s="2" t="s">
        <v>12</v>
      </c>
      <c r="B6" s="2" t="s">
        <v>14</v>
      </c>
      <c r="C6" s="2">
        <v>4</v>
      </c>
      <c r="D6" s="4">
        <v>5000</v>
      </c>
      <c r="E6" s="6">
        <f t="shared" si="0"/>
        <v>20000</v>
      </c>
    </row>
    <row r="7" spans="1:5">
      <c r="A7" s="2" t="s">
        <v>15</v>
      </c>
      <c r="B7" s="2" t="s">
        <v>16</v>
      </c>
      <c r="C7" s="2">
        <v>4</v>
      </c>
      <c r="D7" s="4">
        <v>1800</v>
      </c>
      <c r="E7" s="6">
        <f t="shared" si="0"/>
        <v>7200</v>
      </c>
    </row>
    <row r="8" spans="1:5">
      <c r="A8" s="2" t="s">
        <v>15</v>
      </c>
      <c r="B8" s="2" t="s">
        <v>17</v>
      </c>
      <c r="C8" s="2">
        <v>3</v>
      </c>
      <c r="D8" s="4">
        <v>2600</v>
      </c>
      <c r="E8" s="6">
        <f t="shared" si="0"/>
        <v>7800</v>
      </c>
    </row>
    <row r="9" spans="1:5">
      <c r="A9" s="2" t="s">
        <v>15</v>
      </c>
      <c r="B9" s="2" t="s">
        <v>18</v>
      </c>
      <c r="C9" s="2">
        <v>5</v>
      </c>
      <c r="D9" s="4">
        <v>1200</v>
      </c>
      <c r="E9" s="6">
        <f t="shared" si="0"/>
        <v>6000</v>
      </c>
    </row>
    <row r="10" spans="1:5">
      <c r="A10" s="2" t="s">
        <v>9</v>
      </c>
      <c r="B10" s="2" t="s">
        <v>19</v>
      </c>
      <c r="C10" s="2">
        <v>2</v>
      </c>
      <c r="D10" s="4">
        <v>9400</v>
      </c>
      <c r="E10" s="6">
        <f t="shared" si="0"/>
        <v>18800</v>
      </c>
    </row>
    <row r="11" spans="1:5">
      <c r="A11" s="2" t="s">
        <v>7</v>
      </c>
      <c r="B11" s="2" t="s">
        <v>20</v>
      </c>
      <c r="C11" s="2">
        <v>8</v>
      </c>
      <c r="D11" s="4">
        <v>12000</v>
      </c>
      <c r="E11" s="6">
        <f t="shared" si="0"/>
        <v>96000</v>
      </c>
    </row>
    <row r="12" spans="1:5">
      <c r="A12" s="2" t="s">
        <v>21</v>
      </c>
      <c r="B12" s="2" t="s">
        <v>22</v>
      </c>
      <c r="C12" s="2">
        <v>6</v>
      </c>
      <c r="D12" s="4">
        <v>2500</v>
      </c>
      <c r="E12" s="6">
        <f t="shared" si="0"/>
        <v>15000</v>
      </c>
    </row>
    <row r="13" spans="1:5">
      <c r="A13" s="2" t="s">
        <v>21</v>
      </c>
      <c r="B13" s="2" t="s">
        <v>23</v>
      </c>
      <c r="C13" s="2">
        <v>6</v>
      </c>
      <c r="D13" s="4">
        <v>6500</v>
      </c>
      <c r="E13" s="6">
        <f t="shared" si="0"/>
        <v>39000</v>
      </c>
    </row>
    <row r="14" spans="1:5">
      <c r="A14" s="2" t="s">
        <v>9</v>
      </c>
      <c r="B14" s="2" t="s">
        <v>24</v>
      </c>
      <c r="C14" s="2">
        <v>2</v>
      </c>
      <c r="D14" s="4">
        <v>2400</v>
      </c>
      <c r="E14" s="6">
        <f t="shared" si="0"/>
        <v>4800</v>
      </c>
    </row>
    <row r="15" spans="1:5">
      <c r="A15" s="2" t="s">
        <v>7</v>
      </c>
      <c r="B15" s="2" t="s">
        <v>25</v>
      </c>
      <c r="C15" s="2">
        <v>1</v>
      </c>
      <c r="D15" s="4">
        <v>1800</v>
      </c>
      <c r="E15" s="6">
        <f t="shared" si="0"/>
        <v>1800</v>
      </c>
    </row>
    <row r="17" spans="1:5">
      <c r="A17" s="7">
        <f>DMAX(A1:E15,4,A25:A26)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0</v>
      </c>
    </row>
    <row r="25" spans="1:5">
      <c r="A25" s="10" t="s">
        <v>2</v>
      </c>
      <c r="B25" s="10" t="s">
        <v>3</v>
      </c>
      <c r="C25" s="10" t="s">
        <v>4</v>
      </c>
      <c r="D25" s="10" t="s">
        <v>5</v>
      </c>
      <c r="E25" s="10" t="s">
        <v>6</v>
      </c>
    </row>
    <row r="26" spans="1:5">
      <c r="A26" s="2" t="s">
        <v>12</v>
      </c>
      <c r="B26" s="2"/>
      <c r="C26" s="2"/>
      <c r="D26" s="2"/>
      <c r="E26" s="2"/>
    </row>
    <row r="30" spans="1:5">
      <c r="A30" s="10" t="s">
        <v>2</v>
      </c>
      <c r="B30" s="10" t="s">
        <v>3</v>
      </c>
      <c r="C30" s="10" t="s">
        <v>4</v>
      </c>
      <c r="D30" s="10" t="s">
        <v>5</v>
      </c>
      <c r="E30" s="10" t="s">
        <v>6</v>
      </c>
    </row>
    <row r="31" spans="1:5">
      <c r="A31" s="2" t="s">
        <v>15</v>
      </c>
      <c r="B31" s="2"/>
      <c r="C31" s="2" t="s">
        <v>26</v>
      </c>
      <c r="D31" s="2"/>
      <c r="E31" s="2"/>
    </row>
    <row r="35" spans="1:6">
      <c r="A35" s="10" t="s">
        <v>2</v>
      </c>
      <c r="B35" s="10" t="s">
        <v>3</v>
      </c>
      <c r="C35" s="10" t="s">
        <v>4</v>
      </c>
      <c r="D35" s="10" t="s">
        <v>5</v>
      </c>
      <c r="E35" s="10" t="s">
        <v>6</v>
      </c>
    </row>
    <row r="36" spans="1:6">
      <c r="A36" s="2"/>
      <c r="B36" s="2" t="s">
        <v>16</v>
      </c>
      <c r="C36" s="2"/>
      <c r="D36" s="2"/>
      <c r="E36" s="2"/>
    </row>
    <row r="40" spans="1:6">
      <c r="A40" s="10" t="s">
        <v>2</v>
      </c>
      <c r="B40" s="10" t="s">
        <v>3</v>
      </c>
      <c r="C40" s="10" t="s">
        <v>4</v>
      </c>
      <c r="D40" s="10" t="s">
        <v>5</v>
      </c>
      <c r="E40" s="10" t="s">
        <v>6</v>
      </c>
      <c r="F40" s="11" t="s">
        <v>27</v>
      </c>
    </row>
    <row r="41" spans="1:6">
      <c r="A41" s="2"/>
      <c r="B41" s="2"/>
      <c r="C41" s="2" t="s">
        <v>28</v>
      </c>
      <c r="D41" s="2"/>
      <c r="E41" s="2"/>
      <c r="F41" s="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6E5F-5316-4C26-B34A-85A72787989A}">
  <dimension ref="A1:E15"/>
  <sheetViews>
    <sheetView workbookViewId="0">
      <selection activeCell="G12" sqref="G12"/>
    </sheetView>
  </sheetViews>
  <sheetFormatPr defaultRowHeight="15"/>
  <cols>
    <col min="2" max="2" width="29.140625" customWidth="1"/>
    <col min="3" max="3" width="20.5703125" customWidth="1"/>
    <col min="4" max="4" width="20.42578125" customWidth="1"/>
    <col min="5" max="5" width="18.5703125" customWidth="1"/>
  </cols>
  <sheetData>
    <row r="1" spans="1:5" ht="15.7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 s="2" t="s">
        <v>9</v>
      </c>
      <c r="B2" s="2" t="s">
        <v>24</v>
      </c>
      <c r="C2" s="2">
        <v>2</v>
      </c>
      <c r="D2" s="4">
        <v>2400</v>
      </c>
      <c r="E2" s="6">
        <f>PRODUCT(C2:D2)</f>
        <v>4800</v>
      </c>
    </row>
    <row r="3" spans="1:5">
      <c r="A3" s="2" t="s">
        <v>9</v>
      </c>
      <c r="B3" s="2" t="s">
        <v>10</v>
      </c>
      <c r="C3" s="2">
        <v>10</v>
      </c>
      <c r="D3" s="5">
        <v>4800</v>
      </c>
      <c r="E3" s="6">
        <f>PRODUCT(C3:D3)</f>
        <v>48000</v>
      </c>
    </row>
    <row r="4" spans="1:5">
      <c r="A4" s="2" t="s">
        <v>9</v>
      </c>
      <c r="B4" s="2" t="s">
        <v>19</v>
      </c>
      <c r="C4" s="2">
        <v>2</v>
      </c>
      <c r="D4" s="4">
        <v>9400</v>
      </c>
      <c r="E4" s="6">
        <f>PRODUCT(C4:D4)</f>
        <v>18800</v>
      </c>
    </row>
    <row r="5" spans="1:5">
      <c r="A5" s="2" t="s">
        <v>12</v>
      </c>
      <c r="B5" s="2" t="s">
        <v>14</v>
      </c>
      <c r="C5" s="2">
        <v>4</v>
      </c>
      <c r="D5" s="4">
        <v>5000</v>
      </c>
      <c r="E5" s="6">
        <f>PRODUCT(C5:D5)</f>
        <v>20000</v>
      </c>
    </row>
    <row r="6" spans="1:5">
      <c r="A6" s="2" t="s">
        <v>12</v>
      </c>
      <c r="B6" s="2" t="s">
        <v>13</v>
      </c>
      <c r="C6" s="2">
        <v>7</v>
      </c>
      <c r="D6" s="4">
        <v>8500</v>
      </c>
      <c r="E6" s="6">
        <f>PRODUCT(C6:D6)</f>
        <v>59500</v>
      </c>
    </row>
    <row r="7" spans="1:5">
      <c r="A7" s="2" t="s">
        <v>15</v>
      </c>
      <c r="B7" s="2" t="s">
        <v>18</v>
      </c>
      <c r="C7" s="2">
        <v>5</v>
      </c>
      <c r="D7" s="4">
        <v>1200</v>
      </c>
      <c r="E7" s="6">
        <f>PRODUCT(C7:D7)</f>
        <v>6000</v>
      </c>
    </row>
    <row r="8" spans="1:5">
      <c r="A8" s="2" t="s">
        <v>15</v>
      </c>
      <c r="B8" s="2" t="s">
        <v>17</v>
      </c>
      <c r="C8" s="2">
        <v>3</v>
      </c>
      <c r="D8" s="4">
        <v>2600</v>
      </c>
      <c r="E8" s="6">
        <f>PRODUCT(C8:D8)</f>
        <v>7800</v>
      </c>
    </row>
    <row r="9" spans="1:5">
      <c r="A9" s="2" t="s">
        <v>15</v>
      </c>
      <c r="B9" s="2" t="s">
        <v>16</v>
      </c>
      <c r="C9" s="2">
        <v>4</v>
      </c>
      <c r="D9" s="4">
        <v>1800</v>
      </c>
      <c r="E9" s="6">
        <f>PRODUCT(C9:D9)</f>
        <v>7200</v>
      </c>
    </row>
    <row r="10" spans="1:5">
      <c r="A10" s="2" t="s">
        <v>7</v>
      </c>
      <c r="B10" s="2" t="s">
        <v>8</v>
      </c>
      <c r="C10" s="2">
        <v>12</v>
      </c>
      <c r="D10" s="3">
        <v>6500</v>
      </c>
      <c r="E10" s="6">
        <f>PRODUCT(C10:D10)</f>
        <v>78000</v>
      </c>
    </row>
    <row r="11" spans="1:5">
      <c r="A11" s="2" t="s">
        <v>7</v>
      </c>
      <c r="B11" s="2" t="s">
        <v>11</v>
      </c>
      <c r="C11" s="2">
        <v>8</v>
      </c>
      <c r="D11" s="4">
        <v>7800</v>
      </c>
      <c r="E11" s="6">
        <f>PRODUCT(C11:D11)</f>
        <v>62400</v>
      </c>
    </row>
    <row r="12" spans="1:5">
      <c r="A12" s="2" t="s">
        <v>7</v>
      </c>
      <c r="B12" s="2" t="s">
        <v>20</v>
      </c>
      <c r="C12" s="2">
        <v>8</v>
      </c>
      <c r="D12" s="4">
        <v>12000</v>
      </c>
      <c r="E12" s="6">
        <f>PRODUCT(C12:D12)</f>
        <v>96000</v>
      </c>
    </row>
    <row r="13" spans="1:5">
      <c r="A13" s="2" t="s">
        <v>7</v>
      </c>
      <c r="B13" s="2" t="s">
        <v>25</v>
      </c>
      <c r="C13" s="2">
        <v>1</v>
      </c>
      <c r="D13" s="4">
        <v>1800</v>
      </c>
      <c r="E13" s="6">
        <f>PRODUCT(C13:D13)</f>
        <v>1800</v>
      </c>
    </row>
    <row r="14" spans="1:5">
      <c r="A14" s="2" t="s">
        <v>21</v>
      </c>
      <c r="B14" s="2" t="s">
        <v>23</v>
      </c>
      <c r="C14" s="2">
        <v>6</v>
      </c>
      <c r="D14" s="4">
        <v>6500</v>
      </c>
      <c r="E14" s="6">
        <f>PRODUCT(C14:D14)</f>
        <v>39000</v>
      </c>
    </row>
    <row r="15" spans="1:5">
      <c r="A15" s="2" t="s">
        <v>21</v>
      </c>
      <c r="B15" s="2" t="s">
        <v>22</v>
      </c>
      <c r="C15" s="2">
        <v>6</v>
      </c>
      <c r="D15" s="4">
        <v>2500</v>
      </c>
      <c r="E15" s="6">
        <f>PRODUCT(C15:D15)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CDCA-E864-455C-9771-0B10B12E414F}">
  <dimension ref="A1:E20"/>
  <sheetViews>
    <sheetView tabSelected="1" topLeftCell="A10" workbookViewId="0">
      <selection activeCell="B20" sqref="B20"/>
    </sheetView>
  </sheetViews>
  <sheetFormatPr defaultRowHeight="15"/>
  <cols>
    <col min="1" max="1" width="17.7109375" customWidth="1"/>
    <col min="2" max="2" width="27.28515625" customWidth="1"/>
    <col min="3" max="3" width="18.5703125" customWidth="1"/>
    <col min="4" max="4" width="17" customWidth="1"/>
    <col min="5" max="5" width="17.140625" customWidth="1"/>
  </cols>
  <sheetData>
    <row r="1" spans="1:5" ht="15.7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 s="12" t="s">
        <v>9</v>
      </c>
      <c r="B2" s="2" t="s">
        <v>24</v>
      </c>
      <c r="C2" s="2">
        <v>2</v>
      </c>
      <c r="D2" s="3">
        <v>2400</v>
      </c>
      <c r="E2" s="6">
        <f>PRODUCT(C2:D2)</f>
        <v>4800</v>
      </c>
    </row>
    <row r="3" spans="1:5">
      <c r="A3" s="12" t="s">
        <v>9</v>
      </c>
      <c r="B3" s="2" t="s">
        <v>10</v>
      </c>
      <c r="C3" s="2">
        <v>10</v>
      </c>
      <c r="D3" s="5">
        <v>4800</v>
      </c>
      <c r="E3" s="6">
        <f>PRODUCT(C3:D3)</f>
        <v>48000</v>
      </c>
    </row>
    <row r="4" spans="1:5">
      <c r="A4" s="12" t="s">
        <v>9</v>
      </c>
      <c r="B4" s="2" t="s">
        <v>19</v>
      </c>
      <c r="C4" s="2">
        <v>2</v>
      </c>
      <c r="D4" s="3">
        <v>9400</v>
      </c>
      <c r="E4" s="6">
        <f>PRODUCT(C4:D4)</f>
        <v>18800</v>
      </c>
    </row>
    <row r="5" spans="1:5">
      <c r="A5" s="12" t="s">
        <v>12</v>
      </c>
      <c r="B5" s="2" t="s">
        <v>14</v>
      </c>
      <c r="C5" s="2">
        <v>4</v>
      </c>
      <c r="D5" s="3">
        <v>5000</v>
      </c>
      <c r="E5" s="6">
        <f>PRODUCT(C5:D5)</f>
        <v>20000</v>
      </c>
    </row>
    <row r="6" spans="1:5">
      <c r="A6" s="12" t="s">
        <v>12</v>
      </c>
      <c r="B6" s="2" t="s">
        <v>13</v>
      </c>
      <c r="C6" s="2">
        <v>7</v>
      </c>
      <c r="D6" s="3">
        <v>8500</v>
      </c>
      <c r="E6" s="6">
        <f>PRODUCT(C6:D6)</f>
        <v>59500</v>
      </c>
    </row>
    <row r="7" spans="1:5">
      <c r="A7" s="12" t="s">
        <v>15</v>
      </c>
      <c r="B7" s="2" t="s">
        <v>18</v>
      </c>
      <c r="C7" s="2">
        <v>5</v>
      </c>
      <c r="D7" s="3">
        <v>1200</v>
      </c>
      <c r="E7" s="6">
        <f>PRODUCT(C7:D7)</f>
        <v>6000</v>
      </c>
    </row>
    <row r="8" spans="1:5">
      <c r="A8" s="12" t="s">
        <v>15</v>
      </c>
      <c r="B8" s="2" t="s">
        <v>17</v>
      </c>
      <c r="C8" s="2">
        <v>3</v>
      </c>
      <c r="D8" s="3">
        <v>2600</v>
      </c>
      <c r="E8" s="6">
        <f>PRODUCT(C8:D8)</f>
        <v>7800</v>
      </c>
    </row>
    <row r="9" spans="1:5">
      <c r="A9" s="12" t="s">
        <v>15</v>
      </c>
      <c r="B9" s="2" t="s">
        <v>16</v>
      </c>
      <c r="C9" s="2">
        <v>4</v>
      </c>
      <c r="D9" s="3">
        <v>1800</v>
      </c>
      <c r="E9" s="6">
        <f>PRODUCT(C9:D9)</f>
        <v>7200</v>
      </c>
    </row>
    <row r="10" spans="1:5">
      <c r="A10" s="12" t="s">
        <v>7</v>
      </c>
      <c r="B10" s="2" t="s">
        <v>8</v>
      </c>
      <c r="C10" s="2">
        <v>12</v>
      </c>
      <c r="D10" s="3">
        <v>6500</v>
      </c>
      <c r="E10" s="6">
        <f>PRODUCT(C10:D10)</f>
        <v>78000</v>
      </c>
    </row>
    <row r="11" spans="1:5">
      <c r="A11" s="12" t="s">
        <v>7</v>
      </c>
      <c r="B11" s="2" t="s">
        <v>11</v>
      </c>
      <c r="C11" s="2">
        <v>8</v>
      </c>
      <c r="D11" s="3">
        <v>7800</v>
      </c>
      <c r="E11" s="6">
        <f>PRODUCT(C11:D11)</f>
        <v>62400</v>
      </c>
    </row>
    <row r="12" spans="1:5">
      <c r="A12" s="12" t="s">
        <v>7</v>
      </c>
      <c r="B12" s="2" t="s">
        <v>20</v>
      </c>
      <c r="C12" s="2">
        <v>8</v>
      </c>
      <c r="D12" s="3">
        <v>12000</v>
      </c>
      <c r="E12" s="6">
        <f>PRODUCT(C12:D12)</f>
        <v>96000</v>
      </c>
    </row>
    <row r="13" spans="1:5">
      <c r="A13" s="12" t="s">
        <v>7</v>
      </c>
      <c r="B13" s="2" t="s">
        <v>25</v>
      </c>
      <c r="C13" s="2">
        <v>1</v>
      </c>
      <c r="D13" s="3">
        <v>1800</v>
      </c>
      <c r="E13" s="6">
        <f>PRODUCT(C13:D13)</f>
        <v>1800</v>
      </c>
    </row>
    <row r="14" spans="1:5">
      <c r="A14" s="12" t="s">
        <v>21</v>
      </c>
      <c r="B14" s="2" t="s">
        <v>23</v>
      </c>
      <c r="C14" s="2">
        <v>6</v>
      </c>
      <c r="D14" s="3">
        <v>6500</v>
      </c>
      <c r="E14" s="6">
        <f>PRODUCT(C14:D14)</f>
        <v>39000</v>
      </c>
    </row>
    <row r="15" spans="1:5">
      <c r="A15" s="12" t="s">
        <v>21</v>
      </c>
      <c r="B15" s="2" t="s">
        <v>22</v>
      </c>
      <c r="C15" s="2">
        <v>6</v>
      </c>
      <c r="D15" s="3">
        <v>2500</v>
      </c>
      <c r="E15" s="6">
        <f>PRODUCT(C15:D15)</f>
        <v>15000</v>
      </c>
    </row>
    <row r="18" spans="1:2" ht="30.75">
      <c r="A18" s="8" t="s">
        <v>30</v>
      </c>
      <c r="B18" s="7">
        <f>SUMIFS(E2:E15,A2:A15,"C",C2:C15,"&lt;10")</f>
        <v>23600</v>
      </c>
    </row>
    <row r="19" spans="1:2">
      <c r="A19" s="8" t="s">
        <v>31</v>
      </c>
      <c r="B19">
        <f>COUNTIFS(A2:A15,"R",D2:D15,"&gt;2000",C2:C15,"&lt;4")</f>
        <v>1</v>
      </c>
    </row>
    <row r="20" spans="1:2" ht="30.75">
      <c r="A20" s="9" t="s">
        <v>32</v>
      </c>
      <c r="B20" s="7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2026-02-12T17:06:41Z</dcterms:created>
  <dcterms:modified xsi:type="dcterms:W3CDTF">2026-02-19T15:06:46Z</dcterms:modified>
  <cp:category/>
  <cp:contentStatus/>
</cp:coreProperties>
</file>