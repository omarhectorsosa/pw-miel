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55f7decd1410b/Documentos/UNLaM/Compu II/04 - Excel/TPs/TP-1/"/>
    </mc:Choice>
  </mc:AlternateContent>
  <xr:revisionPtr revIDLastSave="0" documentId="8_{30E7DC55-C63C-4B85-A294-C3CC0D598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B11" i="1"/>
  <c r="C11" i="1" s="1"/>
  <c r="B10" i="1"/>
  <c r="C10" i="1" s="1"/>
  <c r="B9" i="1"/>
  <c r="C9" i="1" s="1"/>
  <c r="B5" i="1"/>
  <c r="C5" i="1" s="1"/>
  <c r="B13" i="1"/>
  <c r="C13" i="1" s="1"/>
  <c r="B8" i="1"/>
  <c r="C8" i="1" s="1"/>
  <c r="B7" i="1"/>
  <c r="C7" i="1" s="1"/>
  <c r="B6" i="1"/>
  <c r="C6" i="1" s="1"/>
  <c r="B16" i="1"/>
  <c r="C16" i="1" s="1"/>
  <c r="B15" i="1"/>
  <c r="C15" i="1" s="1"/>
  <c r="B14" i="1"/>
  <c r="C14" i="1" s="1"/>
  <c r="B12" i="1"/>
  <c r="C12" i="1" s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<sst xmlns="http://schemas.openxmlformats.org/spreadsheetml/2006/main" count="48" uniqueCount="33">
  <si>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</si>
  <si>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</si>
  <si>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</si>
  <si>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</si>
  <si>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</si>
  <si>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</si>
  <si>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</si>
  <si>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</si>
  <si>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</si>
  <si>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las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</si>
  <si>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</si>
  <si>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</si>
  <si>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</si>
  <si>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</si>
  <si>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</si>
  <si>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</si>
  <si>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</si>
  <si>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</si>
  <si>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</si>
  <si>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</si>
  <si>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</si>
  <si>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</si>
  <si>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</si>
  <si>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Ingles I</t>
  </si>
  <si>
    <t>Anatomía I</t>
  </si>
  <si>
    <t>D</t>
  </si>
  <si>
    <t>Biología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</si>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</sst>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A18" sqref="A18"/>
    </sheetView>
  </sheetViews>
  <sheetFormatPr baseColWidth="10" defaultColWidth="9.140625" defaultRowHeight="15" x14ac:dyDescent="0.25"/>
  <cols>
    <col min="1" max="1" width="8.85546875" customWidth="1"/>
    <col min="2" max="2" width="19.5703125" bestFit="1" customWidth="1"/>
    <col min="3" max="3" width="13.5703125" customWidth="1"/>
    <col min="4" max="4" width="11.140625" bestFit="1" customWidth="1"/>
    <col min="5" max="5" width="11.140625" customWidth="1"/>
    <col min="6" max="6" width="10.140625" customWidth="1"/>
    <col min="7" max="7" width="10.5703125" customWidth="1"/>
    <col min="8" max="8" width="21" customWidth="1"/>
    <col min="9" max="9" width="14.140625" customWidth="1"/>
  </cols>
  <sheetData>
    <row r="2" spans="1:9" x14ac:dyDescent="0.25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 s="2" customFormat="1" ht="45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x14ac:dyDescent="0.25">
      <c r="A5">
        <v>1010</v>
      </c>
      <c r="B5" t="str">
        <f>VLOOKUP(A5,Materias!$B$3:$D$15,2,FALSE)</f>
        <v>Derecho Público</v>
      </c>
      <c r="C5" t="str">
        <f>VLOOKUP(VLOOKUP(B5,Materias!$C$3:$D$15,2,FALSE),Departamentos!$B$3:$C$7,2,FALSE)</f>
        <v>Derecho</v>
      </c>
      <c r="D5" s="1">
        <v>42569</v>
      </c>
      <c r="E5">
        <v>202</v>
      </c>
      <c r="F5" t="str">
        <f t="shared" ref="F5:F16" si="0">IF(E5&lt;150,"BAJA",IF(E5&gt;=200,"ALTA","NORMAL"))</f>
        <v>ALTA</v>
      </c>
      <c r="G5" t="str">
        <f t="shared" ref="G5:G16" si="1">IF(AND(D5&gt;DATE(2016,7,15),E5&lt;180),"805","812")</f>
        <v>812</v>
      </c>
      <c r="H5" s="1">
        <f t="shared" ref="H5:H16" si="2">D5+ROUNDUP(E5/10,0)</f>
        <v>42590</v>
      </c>
      <c r="I5">
        <f>VLOOKUP(VLOOKUP(A5,Materias!$B$3:$D$15,3,FALSE),Departamentos!$B$3:$D$7,3,FALSE)*E5</f>
        <v>44440</v>
      </c>
    </row>
    <row r="6" spans="1:9" x14ac:dyDescent="0.25">
      <c r="A6">
        <v>1280</v>
      </c>
      <c r="B6" t="str">
        <f>VLOOKUP(A6,Materias!$B$3:$D$15,2,FALSE)</f>
        <v>Derecho Penal</v>
      </c>
      <c r="C6" t="str">
        <f>VLOOKUP(VLOOKUP(B6,Materias!$C$3:$D$15,2,FALSE),Departamentos!$B$3:$C$7,2,FALSE)</f>
        <v>Derecho</v>
      </c>
      <c r="D6" s="1">
        <v>42572</v>
      </c>
      <c r="E6">
        <v>168</v>
      </c>
      <c r="F6" t="str">
        <f t="shared" si="0"/>
        <v>NORMAL</v>
      </c>
      <c r="G6" t="str">
        <f t="shared" si="1"/>
        <v>805</v>
      </c>
      <c r="H6" s="1">
        <f t="shared" si="2"/>
        <v>42589</v>
      </c>
      <c r="I6">
        <f>VLOOKUP(VLOOKUP(A6,Materias!$B$3:$D$15,3,FALSE),Departamentos!$B$3:$D$7,3,FALSE)*E6</f>
        <v>36960</v>
      </c>
    </row>
    <row r="7" spans="1:9" x14ac:dyDescent="0.25">
      <c r="A7">
        <v>1420</v>
      </c>
      <c r="B7" t="str">
        <f>VLOOKUP(A7,Materias!$B$3:$D$15,2,FALSE)</f>
        <v>Derecho Civil</v>
      </c>
      <c r="C7" t="str">
        <f>VLOOKUP(VLOOKUP(B7,Materias!$C$3:$D$15,2,FALSE),Departamentos!$B$3:$C$7,2,FALSE)</f>
        <v>Derecho</v>
      </c>
      <c r="D7" s="1">
        <v>42564</v>
      </c>
      <c r="E7">
        <v>136</v>
      </c>
      <c r="F7" t="str">
        <f t="shared" si="0"/>
        <v>BAJA</v>
      </c>
      <c r="G7" t="str">
        <f t="shared" si="1"/>
        <v>812</v>
      </c>
      <c r="H7" s="1">
        <f t="shared" si="2"/>
        <v>42578</v>
      </c>
      <c r="I7">
        <f>VLOOKUP(VLOOKUP(A7,Materias!$B$3:$D$15,3,FALSE),Departamentos!$B$3:$D$7,3,FALSE)*E7</f>
        <v>29920</v>
      </c>
    </row>
    <row r="8" spans="1:9" x14ac:dyDescent="0.25">
      <c r="A8">
        <v>1300</v>
      </c>
      <c r="B8" t="str">
        <f>VLOOKUP(A8,Materias!$B$3:$D$15,2,FALSE)</f>
        <v>Ingles I</v>
      </c>
      <c r="C8" t="str">
        <f>VLOOKUP(VLOOKUP(B8,Materias!$C$3:$D$15,2,FALSE),Departamentos!$B$3:$C$7,2,FALSE)</f>
        <v>Economicas</v>
      </c>
      <c r="D8" s="1">
        <v>42578</v>
      </c>
      <c r="E8">
        <v>215</v>
      </c>
      <c r="F8" t="str">
        <f t="shared" si="0"/>
        <v>ALTA</v>
      </c>
      <c r="G8" t="str">
        <f t="shared" si="1"/>
        <v>812</v>
      </c>
      <c r="H8" s="1">
        <f t="shared" si="2"/>
        <v>42600</v>
      </c>
      <c r="I8">
        <f>VLOOKUP(VLOOKUP(A8,Materias!$B$3:$D$15,3,FALSE),Departamentos!$B$3:$D$7,3,FALSE)*E8</f>
        <v>53750</v>
      </c>
    </row>
    <row r="9" spans="1:9" x14ac:dyDescent="0.25">
      <c r="A9">
        <v>1250</v>
      </c>
      <c r="B9" t="str">
        <f>VLOOKUP(A9,Materias!$B$3:$D$15,2,FALSE)</f>
        <v>Computación II</v>
      </c>
      <c r="C9" t="str">
        <f>VLOOKUP(VLOOKUP(B9,Materias!$C$3:$D$15,2,FALSE),Departamentos!$B$3:$C$7,2,FALSE)</f>
        <v>Economicas</v>
      </c>
      <c r="D9" s="1">
        <v>42558</v>
      </c>
      <c r="E9">
        <v>196</v>
      </c>
      <c r="F9" t="str">
        <f t="shared" si="0"/>
        <v>NORMAL</v>
      </c>
      <c r="G9" t="str">
        <f t="shared" si="1"/>
        <v>812</v>
      </c>
      <c r="H9" s="1">
        <f t="shared" si="2"/>
        <v>42578</v>
      </c>
      <c r="I9">
        <f>VLOOKUP(VLOOKUP(A9,Materias!$B$3:$D$15,3,FALSE),Departamentos!$B$3:$D$7,3,FALSE)*E9</f>
        <v>49000</v>
      </c>
    </row>
    <row r="10" spans="1:9" x14ac:dyDescent="0.25">
      <c r="A10">
        <v>1150</v>
      </c>
      <c r="B10" t="str">
        <f>VLOOKUP(A10,Materias!$B$3:$D$15,2,FALSE)</f>
        <v>Computación I</v>
      </c>
      <c r="C10" t="str">
        <f>VLOOKUP(VLOOKUP(B10,Materias!$C$3:$D$15,2,FALSE),Departamentos!$B$3:$C$7,2,FALSE)</f>
        <v>Economicas</v>
      </c>
      <c r="D10" s="1">
        <v>42562</v>
      </c>
      <c r="E10">
        <v>175</v>
      </c>
      <c r="F10" t="str">
        <f t="shared" si="0"/>
        <v>NORMAL</v>
      </c>
      <c r="G10" t="str">
        <f t="shared" si="1"/>
        <v>812</v>
      </c>
      <c r="H10" s="1">
        <f t="shared" si="2"/>
        <v>42580</v>
      </c>
      <c r="I10">
        <f>VLOOKUP(VLOOKUP(A10,Materias!$B$3:$D$15,3,FALSE),Departamentos!$B$3:$D$7,3,FALSE)*E10</f>
        <v>43750</v>
      </c>
    </row>
    <row r="11" spans="1:9" x14ac:dyDescent="0.25">
      <c r="A11">
        <v>1200</v>
      </c>
      <c r="B11" t="str">
        <f>VLOOKUP(A11,Materias!$B$3:$D$15,2,FALSE)</f>
        <v>Estadística</v>
      </c>
      <c r="C11" t="str">
        <f>VLOOKUP(VLOOKUP(B11,Materias!$C$3:$D$15,2,FALSE),Departamentos!$B$3:$C$7,2,FALSE)</f>
        <v>Economicas</v>
      </c>
      <c r="D11" s="1">
        <v>42571</v>
      </c>
      <c r="E11">
        <v>158</v>
      </c>
      <c r="F11" t="str">
        <f t="shared" si="0"/>
        <v>NORMAL</v>
      </c>
      <c r="G11" t="str">
        <f t="shared" si="1"/>
        <v>805</v>
      </c>
      <c r="H11" s="1">
        <f t="shared" si="2"/>
        <v>42587</v>
      </c>
      <c r="I11">
        <f>VLOOKUP(VLOOKUP(A11,Materias!$B$3:$D$15,3,FALSE),Departamentos!$B$3:$D$7,3,FALSE)*E11</f>
        <v>39500</v>
      </c>
    </row>
    <row r="12" spans="1:9" x14ac:dyDescent="0.25">
      <c r="A12">
        <v>1120</v>
      </c>
      <c r="B12" t="str">
        <f>VLOOKUP(A12,Materias!$B$3:$D$15,2,FALSE)</f>
        <v>Análisis Matemático</v>
      </c>
      <c r="C12" t="str">
        <f>VLOOKUP(VLOOKUP(B12,Materias!$C$3:$D$15,2,FALSE),Departamentos!$B$3:$C$7,2,FALSE)</f>
        <v>Ingenieria</v>
      </c>
      <c r="D12" s="1">
        <v>42566</v>
      </c>
      <c r="E12">
        <v>232</v>
      </c>
      <c r="F12" t="str">
        <f t="shared" si="0"/>
        <v>ALTA</v>
      </c>
      <c r="G12" t="str">
        <f t="shared" si="1"/>
        <v>812</v>
      </c>
      <c r="H12" s="1">
        <f t="shared" si="2"/>
        <v>42590</v>
      </c>
      <c r="I12">
        <f>VLOOKUP(VLOOKUP(A12,Materias!$B$3:$D$15,3,FALSE),Departamentos!$B$3:$D$7,3,FALSE)*E12</f>
        <v>41760</v>
      </c>
    </row>
    <row r="13" spans="1:9" x14ac:dyDescent="0.25">
      <c r="A13">
        <v>1080</v>
      </c>
      <c r="B13" t="str">
        <f>VLOOKUP(A13,Materias!$B$3:$D$15,2,FALSE)</f>
        <v>Sistemas Operativos I</v>
      </c>
      <c r="C13" t="str">
        <f>VLOOKUP(VLOOKUP(B13,Materias!$C$3:$D$15,2,FALSE),Departamentos!$B$3:$C$7,2,FALSE)</f>
        <v>Ingenieria</v>
      </c>
      <c r="D13" s="1">
        <v>42574</v>
      </c>
      <c r="E13">
        <v>141</v>
      </c>
      <c r="F13" t="str">
        <f t="shared" si="0"/>
        <v>BAJA</v>
      </c>
      <c r="G13" t="str">
        <f t="shared" si="1"/>
        <v>805</v>
      </c>
      <c r="H13" s="1">
        <f t="shared" si="2"/>
        <v>42589</v>
      </c>
      <c r="I13">
        <f>VLOOKUP(VLOOKUP(A13,Materias!$B$3:$D$15,3,FALSE),Departamentos!$B$3:$D$7,3,FALSE)*E13</f>
        <v>25380</v>
      </c>
    </row>
    <row r="14" spans="1:9" x14ac:dyDescent="0.25">
      <c r="A14">
        <v>1860</v>
      </c>
      <c r="B14" t="str">
        <f>VLOOKUP(A14,Materias!$B$3:$D$15,2,FALSE)</f>
        <v>Enfermeria</v>
      </c>
      <c r="C14" t="str">
        <f>VLOOKUP(VLOOKUP(B14,Materias!$C$3:$D$15,2,FALSE),Departamentos!$B$3:$C$7,2,FALSE)</f>
        <v>Medicina</v>
      </c>
      <c r="D14" s="1">
        <v>42575</v>
      </c>
      <c r="E14">
        <v>171</v>
      </c>
      <c r="F14" t="str">
        <f t="shared" si="0"/>
        <v>NORMAL</v>
      </c>
      <c r="G14" t="str">
        <f t="shared" si="1"/>
        <v>805</v>
      </c>
      <c r="H14" s="1">
        <f t="shared" si="2"/>
        <v>42593</v>
      </c>
      <c r="I14">
        <f>VLOOKUP(VLOOKUP(A14,Materias!$B$3:$D$15,3,FALSE),Departamentos!$B$3:$D$7,3,FALSE)*E14</f>
        <v>51300</v>
      </c>
    </row>
    <row r="15" spans="1:9" x14ac:dyDescent="0.25">
      <c r="A15">
        <v>1850</v>
      </c>
      <c r="B15" t="str">
        <f>VLOOKUP(A15,Materias!$B$3:$D$15,2,FALSE)</f>
        <v>Biología I</v>
      </c>
      <c r="C15" t="str">
        <f>VLOOKUP(VLOOKUP(B15,Materias!$C$3:$D$15,2,FALSE),Departamentos!$B$3:$C$7,2,FALSE)</f>
        <v>Medicina</v>
      </c>
      <c r="D15" s="1">
        <v>42574</v>
      </c>
      <c r="E15">
        <v>170</v>
      </c>
      <c r="F15" t="str">
        <f t="shared" si="0"/>
        <v>NORMAL</v>
      </c>
      <c r="G15" t="str">
        <f t="shared" si="1"/>
        <v>805</v>
      </c>
      <c r="H15" s="1">
        <f t="shared" si="2"/>
        <v>42591</v>
      </c>
      <c r="I15">
        <f>VLOOKUP(VLOOKUP(A15,Materias!$B$3:$D$15,3,FALSE),Departamentos!$B$3:$D$7,3,FALSE)*E15</f>
        <v>51000</v>
      </c>
    </row>
    <row r="16" spans="1:9" x14ac:dyDescent="0.25">
      <c r="A16">
        <v>1825</v>
      </c>
      <c r="B16" t="str">
        <f>VLOOKUP(A16,Materias!$B$3:$D$15,2,FALSE)</f>
        <v>Anatomía I</v>
      </c>
      <c r="C16" t="str">
        <f>VLOOKUP(VLOOKUP(B16,Materias!$C$3:$D$15,2,FALSE),Departamentos!$B$3:$C$7,2,FALSE)</f>
        <v>Medicina</v>
      </c>
      <c r="D16" s="1">
        <v>42573</v>
      </c>
      <c r="E16">
        <v>169</v>
      </c>
      <c r="F16" t="str">
        <f t="shared" si="0"/>
        <v>NORMAL</v>
      </c>
      <c r="G16" t="str">
        <f t="shared" si="1"/>
        <v>805</v>
      </c>
      <c r="H16" s="1">
        <f t="shared" si="2"/>
        <v>42590</v>
      </c>
      <c r="I16">
        <f>VLOOKUP(VLOOKUP(A16,Materias!$B$3:$D$15,3,FALSE),Departamentos!$B$3:$D$7,3,FALSE)*E16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E374-E929-4429-A8F7-63C973AB95B6}">
  <sheetPr>
    <tabColor rgb="FFFFC000"/>
  </sheetPr>
  <dimension ref="B3:D15"/>
  <sheetViews>
    <sheetView workbookViewId="0">
      <selection activeCell="D15" sqref="D15"/>
    </sheetView>
  </sheetViews>
  <sheetFormatPr baseColWidth="10" defaultColWidth="9.140625" defaultRowHeight="15" x14ac:dyDescent="0.25"/>
  <cols>
    <col min="2" max="2" width="12.140625" customWidth="1"/>
    <col min="3" max="3" width="19.5703125" bestFit="1" customWidth="1"/>
    <col min="4" max="4" width="15.28515625" customWidth="1"/>
  </cols>
  <sheetData>
    <row r="3" spans="2:4" s="2" customFormat="1" ht="30" x14ac:dyDescent="0.25">
      <c r="B3" s="3" t="s">
        <v>10</v>
      </c>
      <c r="C3" s="3" t="s">
        <v>2</v>
      </c>
      <c r="D3" s="3" t="s">
        <v>11</v>
      </c>
    </row>
    <row r="4" spans="2:4" x14ac:dyDescent="0.25">
      <c r="B4" s="4">
        <v>1010</v>
      </c>
      <c r="C4" s="4" t="s">
        <v>12</v>
      </c>
      <c r="D4" s="4" t="s">
        <v>13</v>
      </c>
    </row>
    <row r="5" spans="2:4" x14ac:dyDescent="0.25">
      <c r="B5" s="4">
        <v>1280</v>
      </c>
      <c r="C5" s="4" t="s">
        <v>14</v>
      </c>
      <c r="D5" s="4" t="s">
        <v>13</v>
      </c>
    </row>
    <row r="6" spans="2:4" x14ac:dyDescent="0.25">
      <c r="B6" s="4">
        <v>1420</v>
      </c>
      <c r="C6" s="4" t="s">
        <v>15</v>
      </c>
      <c r="D6" s="4" t="s">
        <v>13</v>
      </c>
    </row>
    <row r="7" spans="2:4" x14ac:dyDescent="0.25">
      <c r="B7" s="4">
        <v>1080</v>
      </c>
      <c r="C7" s="4" t="s">
        <v>16</v>
      </c>
      <c r="D7" s="4" t="s">
        <v>17</v>
      </c>
    </row>
    <row r="8" spans="2:4" x14ac:dyDescent="0.25">
      <c r="B8" s="4">
        <v>1120</v>
      </c>
      <c r="C8" s="4" t="s">
        <v>18</v>
      </c>
      <c r="D8" s="4" t="s">
        <v>17</v>
      </c>
    </row>
    <row r="9" spans="2:4" x14ac:dyDescent="0.25">
      <c r="B9" s="4">
        <v>1150</v>
      </c>
      <c r="C9" s="4" t="s">
        <v>19</v>
      </c>
      <c r="D9" s="4" t="s">
        <v>20</v>
      </c>
    </row>
    <row r="10" spans="2:4" x14ac:dyDescent="0.25">
      <c r="B10" s="4">
        <v>1200</v>
      </c>
      <c r="C10" s="4" t="s">
        <v>21</v>
      </c>
      <c r="D10" s="4" t="s">
        <v>20</v>
      </c>
    </row>
    <row r="11" spans="2:4" x14ac:dyDescent="0.25">
      <c r="B11" s="4">
        <v>1250</v>
      </c>
      <c r="C11" s="4" t="s">
        <v>22</v>
      </c>
      <c r="D11" s="4" t="s">
        <v>20</v>
      </c>
    </row>
    <row r="12" spans="2:4" x14ac:dyDescent="0.25">
      <c r="B12" s="4">
        <v>1300</v>
      </c>
      <c r="C12" s="4" t="s">
        <v>23</v>
      </c>
      <c r="D12" s="4" t="s">
        <v>20</v>
      </c>
    </row>
    <row r="13" spans="2:4" x14ac:dyDescent="0.25">
      <c r="B13" s="4">
        <v>1825</v>
      </c>
      <c r="C13" s="4" t="s">
        <v>24</v>
      </c>
      <c r="D13" s="4" t="s">
        <v>25</v>
      </c>
    </row>
    <row r="14" spans="2:4" x14ac:dyDescent="0.25">
      <c r="B14" s="4">
        <v>1850</v>
      </c>
      <c r="C14" s="4" t="s">
        <v>26</v>
      </c>
      <c r="D14" s="4" t="s">
        <v>25</v>
      </c>
    </row>
    <row r="15" spans="2:4" x14ac:dyDescent="0.25">
      <c r="B15" s="4">
        <v>1860</v>
      </c>
      <c r="C15" s="4" t="s">
        <v>27</v>
      </c>
      <c r="D1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4CB3-CB41-4753-A658-02B3EE94C2A2}">
  <sheetPr>
    <tabColor rgb="FF00B050"/>
  </sheetPr>
  <dimension ref="B3:D7"/>
  <sheetViews>
    <sheetView workbookViewId="0">
      <selection activeCell="A9" sqref="A9"/>
    </sheetView>
  </sheetViews>
  <sheetFormatPr baseColWidth="10" defaultColWidth="9.140625" defaultRowHeight="15" x14ac:dyDescent="0.25"/>
  <cols>
    <col min="2" max="2" width="14.5703125" customWidth="1"/>
    <col min="3" max="3" width="13.5703125" bestFit="1" customWidth="1"/>
  </cols>
  <sheetData>
    <row r="3" spans="2:4" s="2" customFormat="1" ht="30" x14ac:dyDescent="0.25">
      <c r="B3" s="3" t="s">
        <v>11</v>
      </c>
      <c r="C3" s="3" t="s">
        <v>3</v>
      </c>
      <c r="D3" s="3" t="s">
        <v>28</v>
      </c>
    </row>
    <row r="4" spans="2:4" x14ac:dyDescent="0.25">
      <c r="B4" s="4" t="s">
        <v>13</v>
      </c>
      <c r="C4" s="4" t="s">
        <v>29</v>
      </c>
      <c r="D4" s="4">
        <v>220</v>
      </c>
    </row>
    <row r="5" spans="2:4" x14ac:dyDescent="0.25">
      <c r="B5" s="4" t="s">
        <v>17</v>
      </c>
      <c r="C5" s="4" t="s">
        <v>30</v>
      </c>
      <c r="D5" s="4">
        <v>180</v>
      </c>
    </row>
    <row r="6" spans="2:4" x14ac:dyDescent="0.25">
      <c r="B6" s="4" t="s">
        <v>20</v>
      </c>
      <c r="C6" s="4" t="s">
        <v>31</v>
      </c>
      <c r="D6" s="4">
        <v>250</v>
      </c>
    </row>
    <row r="7" spans="2:4" x14ac:dyDescent="0.25">
      <c r="B7" s="4" t="s">
        <v>25</v>
      </c>
      <c r="C7" s="4" t="s">
        <v>32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Inscripciones</vt:lpstr>
      <vt:lpstr>Materias</vt:lpstr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Nicolás Sánchez</cp:lastModifiedBy>
  <cp:revision/>
  <dcterms:created xsi:type="dcterms:W3CDTF">2026-02-17T19:49:38Z</dcterms:created>
  <dcterms:modified xsi:type="dcterms:W3CDTF">2026-02-17T21:22:03Z</dcterms:modified>
  <cp:category/>
  <cp:contentStatus/>
</cp:coreProperties>
</file>