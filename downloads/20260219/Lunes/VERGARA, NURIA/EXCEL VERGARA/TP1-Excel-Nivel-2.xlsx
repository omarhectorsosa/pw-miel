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EXCEL VERGARA\"/>
    </mc:Choice>
  </mc:AlternateContent>
  <bookViews>
    <workbookView xWindow="240" yWindow="105" windowWidth="14805" windowHeight="8010"/>
  </bookViews>
  <sheets>
    <sheet name="Inscripciones" sheetId="1" r:id="rId1"/>
    <sheet name="Materia" sheetId="2" r:id="rId2"/>
    <sheet name="Departamento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I5" i="1" l="1"/>
  <c r="I13" i="1"/>
  <c r="I8" i="1"/>
  <c r="I7" i="1"/>
  <c r="I6" i="1"/>
  <c r="I16" i="1"/>
  <c r="I15" i="1"/>
  <c r="I14" i="1"/>
  <c r="I9" i="1"/>
  <c r="I10" i="1"/>
  <c r="I11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4" i="1"/>
  <c r="G15" i="1"/>
  <c r="G16" i="1"/>
  <c r="G6" i="1"/>
  <c r="G7" i="1"/>
  <c r="G8" i="1"/>
  <c r="G13" i="1"/>
  <c r="G5" i="1"/>
  <c r="G9" i="1"/>
  <c r="G10" i="1"/>
  <c r="G11" i="1"/>
  <c r="G12" i="1"/>
  <c r="F10" i="1"/>
  <c r="F11" i="1"/>
  <c r="F9" i="1"/>
  <c r="F5" i="1"/>
  <c r="F13" i="1"/>
  <c r="F8" i="1"/>
  <c r="F7" i="1"/>
  <c r="F6" i="1"/>
  <c r="F16" i="1"/>
  <c r="F15" i="1"/>
  <c r="F14" i="1"/>
  <c r="F12" i="1"/>
  <c r="C15" i="1"/>
  <c r="C14" i="1"/>
  <c r="C6" i="1"/>
  <c r="C7" i="1"/>
  <c r="C8" i="1"/>
  <c r="C13" i="1"/>
  <c r="C5" i="1"/>
  <c r="C9" i="1"/>
  <c r="C10" i="1"/>
  <c r="C11" i="1"/>
  <c r="C12" i="1"/>
  <c r="B6" i="1"/>
  <c r="B7" i="1"/>
  <c r="B13" i="1"/>
  <c r="B12" i="1"/>
  <c r="B11" i="1"/>
  <c r="B9" i="1"/>
  <c r="B5" i="1"/>
  <c r="B8" i="1"/>
  <c r="B16" i="1"/>
  <c r="B15" i="1"/>
  <c r="B14" i="1"/>
  <c r="B10" i="1"/>
</calcChain>
</file>

<file path=xl/sharedStrings.xml><?xml version="1.0" encoding="utf-8"?>
<sst xmlns="http://schemas.openxmlformats.org/spreadsheetml/2006/main" count="48" uniqueCount="32">
  <si>
    <t>EXAMENES FINALES</t>
  </si>
  <si>
    <t>Codigo de Materia</t>
  </si>
  <si>
    <t>Materia</t>
  </si>
  <si>
    <t>Departamento</t>
  </si>
  <si>
    <t>Fecha de Examen</t>
  </si>
  <si>
    <t xml:space="preserve">Cantidad de Inscriptos </t>
  </si>
  <si>
    <t xml:space="preserve">Condicion </t>
  </si>
  <si>
    <t xml:space="preserve">Aula Asignada </t>
  </si>
  <si>
    <t>Publicacion de las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</si>
  <si>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</si>
  <si>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</si>
  <si>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</si>
  <si>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</si>
  <si>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</si>
  <si>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</si>
  <si>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</si>
  <si>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</si>
  <si>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matemarico</t>
  </si>
  <si>
    <t>Computacion I</t>
  </si>
  <si>
    <t>C</t>
  </si>
  <si>
    <t>Estadistica</t>
  </si>
  <si>
    <t>Computacion II</t>
  </si>
  <si>
    <t>Ingles I</t>
  </si>
  <si>
    <t>Anatomia I</t>
  </si>
  <si>
    <t>D</t>
  </si>
  <si>
    <t xml:space="preserve">Biologia </t>
  </si>
  <si>
    <t>Enfermeria</t>
  </si>
  <si>
    <t>Arancel</t>
  </si>
  <si>
    <t>Derecho</t>
  </si>
  <si>
    <t xml:space="preserve">Ingenieria </t>
  </si>
  <si>
    <t xml:space="preserve">Economia </t>
  </si>
  <si>
    <t xml:space="preserve">Medicina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</si>
</sst>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1" fillId="3" borderId="0" xfId="0" applyFont="1" applyFill="1" applyAlignment="1">
      <alignment wrapText="1"/>
    </xf>
    <xf numFmtId="14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horizontal="right" wrapText="1"/>
    </xf>
    <xf numFmtId="1" fontId="1" fillId="3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F5" sqref="F5"/>
    </sheetView>
  </sheetViews>
  <sheetFormatPr baseColWidth="10" defaultColWidth="9" defaultRowHeight="14.25"/>
  <cols>
    <col min="1" max="1" width="19.125" customWidth="1"/>
    <col min="2" max="2" width="20.75" customWidth="1"/>
    <col min="3" max="3" width="13.375" customWidth="1"/>
    <col min="4" max="4" width="15.625" style="2" customWidth="1"/>
    <col min="6" max="6" width="11.25" customWidth="1"/>
    <col min="7" max="7" width="9.125" style="12"/>
    <col min="8" max="8" width="10.875" style="11" bestFit="1" customWidth="1"/>
  </cols>
  <sheetData>
    <row r="2" spans="1:9" ht="15">
      <c r="A2" s="21" t="s">
        <v>0</v>
      </c>
      <c r="B2" s="21"/>
      <c r="C2" s="21"/>
      <c r="D2" s="21"/>
      <c r="E2" s="21"/>
      <c r="F2" s="21"/>
      <c r="G2" s="21"/>
      <c r="H2" s="21"/>
      <c r="I2" s="21"/>
    </row>
    <row r="3" spans="1:9" ht="15">
      <c r="A3" s="13"/>
      <c r="B3" s="13"/>
      <c r="C3" s="13"/>
      <c r="D3" s="14"/>
      <c r="E3" s="13"/>
      <c r="F3" s="13"/>
      <c r="G3" s="15"/>
      <c r="H3" s="16"/>
      <c r="I3" s="13"/>
    </row>
    <row r="4" spans="1:9" s="1" customFormat="1" ht="60">
      <c r="A4" s="17" t="s">
        <v>1</v>
      </c>
      <c r="B4" s="17" t="s">
        <v>2</v>
      </c>
      <c r="C4" s="17" t="s">
        <v>3</v>
      </c>
      <c r="D4" s="18" t="s">
        <v>4</v>
      </c>
      <c r="E4" s="17" t="s">
        <v>5</v>
      </c>
      <c r="F4" s="17" t="s">
        <v>6</v>
      </c>
      <c r="G4" s="19" t="s">
        <v>7</v>
      </c>
      <c r="H4" s="20" t="s">
        <v>8</v>
      </c>
      <c r="I4" s="17" t="s">
        <v>9</v>
      </c>
    </row>
    <row r="5" spans="1:9">
      <c r="A5">
        <v>1010</v>
      </c>
      <c r="B5" t="str">
        <f>VLOOKUP(A5,Materia!$B$3:$D$15,2,TRUE)</f>
        <v>Derecho Publico</v>
      </c>
      <c r="C5" t="str">
        <f>VLOOKUP(VLOOKUP(A5,Materia!$B$3:$D$15,3,0),Departamento!$B$3:$D$7,2,0)</f>
        <v>Derecho</v>
      </c>
      <c r="D5" s="2">
        <v>42569</v>
      </c>
      <c r="E5">
        <v>202</v>
      </c>
      <c r="F5" t="str">
        <f t="shared" ref="F5:F16" si="0">IF(E5&lt;150,"BAJA",IF(E5&lt;200,"NORMAL","ALTA"))</f>
        <v>ALTA</v>
      </c>
      <c r="G5" s="12" t="str">
        <f>IF(AND(E5&gt;180,D5&gt;DATE(2016,7,15)),"805","812")</f>
        <v>805</v>
      </c>
      <c r="H5" s="2">
        <f t="shared" ref="H5:H16" si="1">D5+ROUNDUP(E5/10,0)</f>
        <v>42590</v>
      </c>
      <c r="I5">
        <f>E5*VLOOKUP(VLOOKUP(A5,Materia!$B$3:$D$15,3,0),Departamento!$B$3:$D$7,3,0)</f>
        <v>44440</v>
      </c>
    </row>
    <row r="6" spans="1:9">
      <c r="A6">
        <v>1280</v>
      </c>
      <c r="B6" t="str">
        <f>VLOOKUP(A6,Materia!$B$3:$D$15,2,0)</f>
        <v>Derecho Penal</v>
      </c>
      <c r="C6" t="str">
        <f>VLOOKUP(VLOOKUP(A6,Materia!$B$3:$D$15,3,0),Departamento!$B$3:$D$7,2,0)</f>
        <v>Derecho</v>
      </c>
      <c r="D6" s="2">
        <v>42572</v>
      </c>
      <c r="E6">
        <v>168</v>
      </c>
      <c r="F6" t="str">
        <f t="shared" si="0"/>
        <v>NORMAL</v>
      </c>
      <c r="G6" s="12" t="str">
        <f>IF(AND(E6&gt;180,D6&gt;DATE(2016,7,16)),"805","812")</f>
        <v>812</v>
      </c>
      <c r="H6" s="2">
        <f t="shared" si="1"/>
        <v>42589</v>
      </c>
      <c r="I6">
        <f>E6*VLOOKUP(VLOOKUP(A6,Materia!$B$3:$D$15,3,0),Departamento!$B$3:$D$7,3,0)</f>
        <v>36960</v>
      </c>
    </row>
    <row r="7" spans="1:9">
      <c r="A7">
        <v>1420</v>
      </c>
      <c r="B7" t="str">
        <f>VLOOKUP(A7,Materia!$B$3:$D$15,2,0)</f>
        <v>Derecho Civil</v>
      </c>
      <c r="C7" t="str">
        <f>VLOOKUP(VLOOKUP(A7,Materia!$B$3:$D$15,3,0),Departamento!$B$3:$D$7,2,0)</f>
        <v>Derecho</v>
      </c>
      <c r="D7" s="2">
        <v>42564</v>
      </c>
      <c r="E7">
        <v>136</v>
      </c>
      <c r="F7" t="str">
        <f t="shared" si="0"/>
        <v>BAJA</v>
      </c>
      <c r="G7" s="12" t="str">
        <f>IF(AND(E7&gt;180,D7&gt;DATE(2016,7,16)),"805","812")</f>
        <v>812</v>
      </c>
      <c r="H7" s="2">
        <f t="shared" si="1"/>
        <v>42578</v>
      </c>
      <c r="I7">
        <f>E7*VLOOKUP(VLOOKUP(A7,Materia!$B$3:$D$15,3,0),Departamento!$B$3:$D$7,3,0)</f>
        <v>29920</v>
      </c>
    </row>
    <row r="8" spans="1:9">
      <c r="A8">
        <v>1300</v>
      </c>
      <c r="B8" t="str">
        <f>VLOOKUP(A8,Materia!$B$3:$D$15,2,TRUE)</f>
        <v>Ingles I</v>
      </c>
      <c r="C8" t="str">
        <f>VLOOKUP(VLOOKUP(A8,Materia!$B$3:$D$15,3,0),Departamento!$B$3:$D$7,2,0)</f>
        <v xml:space="preserve">Economia </v>
      </c>
      <c r="D8" s="2">
        <v>42578</v>
      </c>
      <c r="E8">
        <v>215</v>
      </c>
      <c r="F8" t="str">
        <f t="shared" si="0"/>
        <v>ALTA</v>
      </c>
      <c r="G8" s="12" t="str">
        <f>IF(AND(E8&gt;180,D8&gt;DATE(2016,7,15)),"805","812")</f>
        <v>805</v>
      </c>
      <c r="H8" s="2">
        <f t="shared" si="1"/>
        <v>42600</v>
      </c>
      <c r="I8">
        <f>E8*VLOOKUP(VLOOKUP(A8,Materia!$B$3:$D$15,3,0),Departamento!$B$3:$D$7,3,0)</f>
        <v>53750</v>
      </c>
    </row>
    <row r="9" spans="1:9">
      <c r="A9">
        <v>1250</v>
      </c>
      <c r="B9" t="str">
        <f>VLOOKUP(A9,Materia!$B$3:$D$15,2,TRUE)</f>
        <v>Computacion II</v>
      </c>
      <c r="C9" t="str">
        <f>VLOOKUP(VLOOKUP(A9,Materia!$B$3:$D$15,3,0),Departamento!$B$3:$D$7,2,0)</f>
        <v xml:space="preserve">Economia </v>
      </c>
      <c r="D9" s="2">
        <v>45845</v>
      </c>
      <c r="E9">
        <v>196</v>
      </c>
      <c r="F9" t="str">
        <f t="shared" si="0"/>
        <v>NORMAL</v>
      </c>
      <c r="G9" s="12" t="str">
        <f>IF(AND(E9&gt;180,D9&gt;DATE(2016,7,16)),"805","812")</f>
        <v>805</v>
      </c>
      <c r="H9" s="2">
        <f t="shared" si="1"/>
        <v>45865</v>
      </c>
      <c r="I9">
        <f>E9*VLOOKUP(VLOOKUP(A9,Materia!$B$3:$D$15,3,0),Departamento!$B$3:$D$7,3,0)</f>
        <v>49000</v>
      </c>
    </row>
    <row r="10" spans="1:9">
      <c r="A10">
        <v>1150</v>
      </c>
      <c r="B10" t="str">
        <f>VLOOKUP(A10,Materia!$B$3:$D$15,2,TRUE)</f>
        <v>Computacion I</v>
      </c>
      <c r="C10" t="str">
        <f>VLOOKUP(VLOOKUP(A10,Materia!$B$3:$D$15,3,0),Departamento!$B$3:$D$7,2,0)</f>
        <v xml:space="preserve">Economia </v>
      </c>
      <c r="D10" s="2">
        <v>42562</v>
      </c>
      <c r="E10">
        <v>175</v>
      </c>
      <c r="F10" t="str">
        <f t="shared" si="0"/>
        <v>NORMAL</v>
      </c>
      <c r="G10" s="12" t="str">
        <f>IF(AND(E10&lt;180,D10&gt;DATE(2016,7,16)),"805","812")</f>
        <v>812</v>
      </c>
      <c r="H10" s="2">
        <f t="shared" si="1"/>
        <v>42580</v>
      </c>
      <c r="I10">
        <f>E10*VLOOKUP(VLOOKUP(A10,Materia!$B$3:$D$15,3,0),Departamento!$B$3:$D$7,3,0)</f>
        <v>43750</v>
      </c>
    </row>
    <row r="11" spans="1:9">
      <c r="A11">
        <v>1200</v>
      </c>
      <c r="B11" t="str">
        <f>VLOOKUP(A11,Materia!$B$3:$D$15,2,TRUE)</f>
        <v>Estadistica</v>
      </c>
      <c r="C11" t="str">
        <f>VLOOKUP(VLOOKUP(A11,Materia!$B$3:$D$15,3,0),Departamento!$B$3:$D$7,2,0)</f>
        <v xml:space="preserve">Economia </v>
      </c>
      <c r="D11" s="2">
        <v>42571</v>
      </c>
      <c r="E11">
        <v>158</v>
      </c>
      <c r="F11" t="str">
        <f t="shared" si="0"/>
        <v>NORMAL</v>
      </c>
      <c r="G11" s="12" t="str">
        <f>IF(AND(E11&lt;180,D11&gt;DATE(2016,7,15)),"805","812")</f>
        <v>805</v>
      </c>
      <c r="H11" s="2">
        <f t="shared" si="1"/>
        <v>42587</v>
      </c>
      <c r="I11">
        <f>E11*VLOOKUP(VLOOKUP(A11,Materia!$B$3:$D$15,3),Departamento!$B$3:$D$7,3,0)</f>
        <v>39500</v>
      </c>
    </row>
    <row r="12" spans="1:9">
      <c r="A12">
        <v>1120</v>
      </c>
      <c r="B12" t="str">
        <f>VLOOKUP(A12,Materia!$B$3:$D$15,2,0)</f>
        <v>Analisis matemarico</v>
      </c>
      <c r="C12" t="str">
        <f>VLOOKUP(VLOOKUP(A12,Materia!$B$3:$D$15,3,0),Departamento!$B$3:$D$7,2,0)</f>
        <v xml:space="preserve">Ingenieria </v>
      </c>
      <c r="D12" s="2">
        <v>42566</v>
      </c>
      <c r="E12">
        <v>232</v>
      </c>
      <c r="F12" t="str">
        <f t="shared" si="0"/>
        <v>ALTA</v>
      </c>
      <c r="G12" s="12">
        <f>IF(AND(E12&lt;180,D12&gt;DATE(2016,7,15)),805,812)</f>
        <v>812</v>
      </c>
      <c r="H12" s="2">
        <f t="shared" si="1"/>
        <v>42590</v>
      </c>
      <c r="I12">
        <f>E12*VLOOKUP(VLOOKUP(A12,Materia!$B$3:$D$15,3,0),Departamento!$B$3:$D$7,3,0)</f>
        <v>41760</v>
      </c>
    </row>
    <row r="13" spans="1:9">
      <c r="A13">
        <v>1080</v>
      </c>
      <c r="B13" t="str">
        <f>VLOOKUP(A13,Materia!$B$3:$D$15,2,0)</f>
        <v>Sistemas operativos I</v>
      </c>
      <c r="C13" t="str">
        <f>VLOOKUP(VLOOKUP(A13,Materia!$B$3:$D$15,3,0),Departamento!$B$3:$D$7,2,0)</f>
        <v xml:space="preserve">Ingenieria </v>
      </c>
      <c r="D13" s="2">
        <v>42574</v>
      </c>
      <c r="E13">
        <v>141</v>
      </c>
      <c r="F13" t="str">
        <f t="shared" si="0"/>
        <v>BAJA</v>
      </c>
      <c r="G13" s="12" t="str">
        <f>IF(AND(E13&gt;180,D13&gt;DATE(2016,7,16)),"805","812")</f>
        <v>812</v>
      </c>
      <c r="H13" s="2">
        <f t="shared" si="1"/>
        <v>42589</v>
      </c>
      <c r="I13">
        <f>E13*VLOOKUP(VLOOKUP(A13,Materia!$B$3:$D$15,3,0),Departamento!$B$3:$D$7,3,0)</f>
        <v>25380</v>
      </c>
    </row>
    <row r="14" spans="1:9">
      <c r="A14">
        <v>1860</v>
      </c>
      <c r="B14" t="str">
        <f>VLOOKUP(A14,Materia!$B$3:$D$15,2,TRUE)</f>
        <v>Enfermeria</v>
      </c>
      <c r="C14" t="str">
        <f>VLOOKUP(VLOOKUP(A14,Materia!$B$3:$D$15,3,0),Departamento!$B$3:$D$7,2,0)</f>
        <v xml:space="preserve">Medicina </v>
      </c>
      <c r="D14" s="2">
        <v>42575</v>
      </c>
      <c r="E14">
        <v>171</v>
      </c>
      <c r="F14" t="str">
        <f t="shared" si="0"/>
        <v>NORMAL</v>
      </c>
      <c r="G14" s="12" t="str">
        <f>IF(AND(E14&gt;180,D14&gt;DATE(2016,7,15)),"805","812")</f>
        <v>812</v>
      </c>
      <c r="H14" s="2">
        <f t="shared" si="1"/>
        <v>42593</v>
      </c>
      <c r="I14">
        <f>E14*VLOOKUP(VLOOKUP(A14,Materia!$B$3:$D$15,3,0),Departamento!$B$3:$D$7,3,0)</f>
        <v>51300</v>
      </c>
    </row>
    <row r="15" spans="1:9">
      <c r="A15">
        <v>1850</v>
      </c>
      <c r="B15" t="str">
        <f>VLOOKUP(A15,Materia!$B$3:$D$15,2,TRUE)</f>
        <v xml:space="preserve">Biologia </v>
      </c>
      <c r="C15" t="str">
        <f>VLOOKUP(VLOOKUP(A15,Materia!$B$3:$D$15,3,0),Departamento!$B$3:$D$7,2,0)</f>
        <v xml:space="preserve">Medicina </v>
      </c>
      <c r="D15" s="2">
        <v>42574</v>
      </c>
      <c r="E15">
        <v>170</v>
      </c>
      <c r="F15" t="str">
        <f t="shared" si="0"/>
        <v>NORMAL</v>
      </c>
      <c r="G15" s="12" t="str">
        <f>IF(AND(E15&gt;180,D15&gt;DATE(2016,7,15)),"805","812")</f>
        <v>812</v>
      </c>
      <c r="H15" s="2">
        <f t="shared" si="1"/>
        <v>42591</v>
      </c>
      <c r="I15">
        <f>E15*VLOOKUP(VLOOKUP(A15,Materia!$B$3:$D$15,3,0),Departamento!$B$3:$D$7,3,0)</f>
        <v>51000</v>
      </c>
    </row>
    <row r="16" spans="1:9">
      <c r="A16">
        <v>1825</v>
      </c>
      <c r="B16" t="str">
        <f>VLOOKUP(A16,Materia!$B$3:$D$15,2,TRUE)</f>
        <v>Anatomia I</v>
      </c>
      <c r="C16" t="str">
        <f>VLOOKUP(VLOOKUP(A16,Materia!$B$3:$D$15,3,0),Departamento!$B$3:$D$7,2,0)</f>
        <v xml:space="preserve">Medicina </v>
      </c>
      <c r="D16" s="2">
        <v>42573</v>
      </c>
      <c r="E16">
        <v>169</v>
      </c>
      <c r="F16" t="str">
        <f t="shared" si="0"/>
        <v>NORMAL</v>
      </c>
      <c r="G16" s="12" t="str">
        <f>IF(AND(E16&gt;180,D16&gt;DATE(2016,7,15)),"805","812")</f>
        <v>812</v>
      </c>
      <c r="H16" s="2">
        <f t="shared" si="1"/>
        <v>42590</v>
      </c>
      <c r="I16">
        <f>E16*VLOOKUP(VLOOKUP(A16,Materia!$B$3:$D$15,3,0),Departamento!$B$3:$D$7,3,0)</f>
        <v>50700</v>
      </c>
    </row>
  </sheetData>
  <sortState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5"/>
  <sheetViews>
    <sheetView workbookViewId="0">
      <selection activeCell="C9" sqref="C9"/>
    </sheetView>
  </sheetViews>
  <sheetFormatPr baseColWidth="10" defaultColWidth="9" defaultRowHeight="14.25"/>
  <cols>
    <col min="1" max="2" width="16.25" bestFit="1" customWidth="1"/>
    <col min="3" max="3" width="17.875" customWidth="1"/>
    <col min="4" max="4" width="22.25" bestFit="1" customWidth="1"/>
  </cols>
  <sheetData>
    <row r="3" spans="2:4">
      <c r="B3" s="3" t="s">
        <v>1</v>
      </c>
      <c r="C3" s="4" t="s">
        <v>2</v>
      </c>
      <c r="D3" s="5" t="s">
        <v>10</v>
      </c>
    </row>
    <row r="4" spans="2:4">
      <c r="B4" s="6">
        <v>1010</v>
      </c>
      <c r="C4" t="s">
        <v>11</v>
      </c>
      <c r="D4" s="7" t="s">
        <v>12</v>
      </c>
    </row>
    <row r="5" spans="2:4">
      <c r="B5" s="6">
        <v>1280</v>
      </c>
      <c r="C5" t="s">
        <v>13</v>
      </c>
      <c r="D5" s="7" t="s">
        <v>12</v>
      </c>
    </row>
    <row r="6" spans="2:4">
      <c r="B6" s="6">
        <v>1420</v>
      </c>
      <c r="C6" t="s">
        <v>14</v>
      </c>
      <c r="D6" s="7" t="s">
        <v>12</v>
      </c>
    </row>
    <row r="7" spans="2:4">
      <c r="B7" s="6">
        <v>1080</v>
      </c>
      <c r="C7" t="s">
        <v>15</v>
      </c>
      <c r="D7" s="7" t="s">
        <v>16</v>
      </c>
    </row>
    <row r="8" spans="2:4">
      <c r="B8" s="6">
        <v>1120</v>
      </c>
      <c r="C8" t="s">
        <v>17</v>
      </c>
      <c r="D8" s="7" t="s">
        <v>16</v>
      </c>
    </row>
    <row r="9" spans="2:4">
      <c r="B9" s="6">
        <v>1150</v>
      </c>
      <c r="C9" t="s">
        <v>18</v>
      </c>
      <c r="D9" s="7" t="s">
        <v>19</v>
      </c>
    </row>
    <row r="10" spans="2:4">
      <c r="B10" s="6">
        <v>1200</v>
      </c>
      <c r="C10" t="s">
        <v>20</v>
      </c>
      <c r="D10" s="7" t="s">
        <v>19</v>
      </c>
    </row>
    <row r="11" spans="2:4">
      <c r="B11" s="6">
        <v>1250</v>
      </c>
      <c r="C11" t="s">
        <v>21</v>
      </c>
      <c r="D11" s="7" t="s">
        <v>19</v>
      </c>
    </row>
    <row r="12" spans="2:4">
      <c r="B12" s="6">
        <v>1300</v>
      </c>
      <c r="C12" t="s">
        <v>22</v>
      </c>
      <c r="D12" s="7" t="s">
        <v>19</v>
      </c>
    </row>
    <row r="13" spans="2:4">
      <c r="B13" s="6">
        <v>1825</v>
      </c>
      <c r="C13" t="s">
        <v>23</v>
      </c>
      <c r="D13" s="7" t="s">
        <v>24</v>
      </c>
    </row>
    <row r="14" spans="2:4">
      <c r="B14" s="6">
        <v>1850</v>
      </c>
      <c r="C14" t="s">
        <v>25</v>
      </c>
      <c r="D14" s="7" t="s">
        <v>24</v>
      </c>
    </row>
    <row r="15" spans="2:4">
      <c r="B15" s="8">
        <v>1860</v>
      </c>
      <c r="C15" s="9" t="s">
        <v>26</v>
      </c>
      <c r="D15" s="1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"/>
  <sheetViews>
    <sheetView workbookViewId="0">
      <selection activeCell="E19" sqref="E19"/>
    </sheetView>
  </sheetViews>
  <sheetFormatPr baseColWidth="10" defaultColWidth="9" defaultRowHeight="14.25"/>
  <sheetData>
    <row r="3" spans="2:4">
      <c r="B3" s="3" t="s">
        <v>10</v>
      </c>
      <c r="C3" s="4" t="s">
        <v>3</v>
      </c>
      <c r="D3" s="5" t="s">
        <v>27</v>
      </c>
    </row>
    <row r="4" spans="2:4">
      <c r="B4" s="6" t="s">
        <v>12</v>
      </c>
      <c r="C4" t="s">
        <v>28</v>
      </c>
      <c r="D4" s="7">
        <v>220</v>
      </c>
    </row>
    <row r="5" spans="2:4">
      <c r="B5" s="6" t="s">
        <v>16</v>
      </c>
      <c r="C5" t="s">
        <v>29</v>
      </c>
      <c r="D5" s="7">
        <v>180</v>
      </c>
    </row>
    <row r="6" spans="2:4">
      <c r="B6" s="6" t="s">
        <v>19</v>
      </c>
      <c r="C6" t="s">
        <v>30</v>
      </c>
      <c r="D6" s="7">
        <v>250</v>
      </c>
    </row>
    <row r="7" spans="2:4">
      <c r="B7" s="8" t="s">
        <v>24</v>
      </c>
      <c r="C7" s="9" t="s">
        <v>31</v>
      </c>
      <c r="D7" s="1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Inscripciones</vt:lpstr>
      <vt:lpstr>Materia</vt:lpstr>
      <vt:lpstr>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2025-09-14T16:50:09Z</dcterms:created>
  <dcterms:modified xsi:type="dcterms:W3CDTF">2026-02-19T20:27:52Z</dcterms:modified>
  <cp:category/>
  <cp:contentStatus/>
</cp:coreProperties>
</file>