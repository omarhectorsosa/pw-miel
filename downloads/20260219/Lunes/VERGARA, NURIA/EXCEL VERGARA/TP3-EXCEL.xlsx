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EXCEL VERGARA\"/>
    </mc:Choice>
  </mc:AlternateContent>
  <bookViews>
    <workbookView xWindow="0" yWindow="0" windowWidth="20490" windowHeight="7650" activeTab="1"/>
  </bookViews>
  <sheets>
    <sheet name="Hoja1" sheetId="1" r:id="rId1"/>
    <sheet name="Hoja3" sheetId="3" r:id="rId2"/>
    <sheet name="Hoja2" sheetId="2" r:id="rId3"/>
  </sheets>
  <definedNames>
    <definedName name="_xlnm._FilterDatabase" localSheetId="2" hidden="1">Hoja2!$A$1:$E$15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1" i="2"/>
  <c r="E4" i="2"/>
  <c r="E7" i="2"/>
  <c r="E8" i="2"/>
  <c r="E9" i="2"/>
  <c r="E5" i="2"/>
  <c r="E6" i="2"/>
  <c r="E12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<sst xmlns="http://schemas.openxmlformats.org/spreadsheetml/2006/main" count="129" uniqueCount="30">
  <si>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DESCRIPCION</t>
  </si>
  <si>
    <t>CANTIDAD</t>
  </si>
  <si>
    <t>PRECIO UNIT.</t>
  </si>
  <si>
    <t>TOTAL</t>
  </si>
  <si>
    <t>T</t>
  </si>
  <si>
    <t>C</t>
  </si>
  <si>
    <t>Televisior 32"</t>
  </si>
  <si>
    <t xml:space="preserve">Cocina 4 Hornallas </t>
  </si>
  <si>
    <t>Televisor 42"LED</t>
  </si>
  <si>
    <t>H</t>
  </si>
  <si>
    <t>Heladera 12 pies, con freezer</t>
  </si>
  <si>
    <t>Freezer carga superior</t>
  </si>
  <si>
    <t>R</t>
  </si>
  <si>
    <t xml:space="preserve">Radio onda corta </t>
  </si>
  <si>
    <t>Radio con CD y MP3</t>
  </si>
  <si>
    <t xml:space="preserve">Radio AM/FM 3 Bandas </t>
  </si>
  <si>
    <t>Cocina Industrial 6 hornallas</t>
  </si>
  <si>
    <t xml:space="preserve">Televisor 42" LED 3D </t>
  </si>
  <si>
    <t>V</t>
  </si>
  <si>
    <t>Ventilador 25" giratorio</t>
  </si>
  <si>
    <t>Aire acondicionado</t>
  </si>
  <si>
    <t>Anafe 2 hornallas</t>
  </si>
  <si>
    <t>TV portatil</t>
  </si>
  <si>
    <t>CODIGO</t>
  </si>
  <si>
    <t>&gt;=5</t>
  </si>
  <si>
    <t>&gt;4</t>
  </si>
  <si>
    <t>&lt;9</t>
  </si>
  <si>
    <t>Importe Total</t>
  </si>
  <si>
    <t>Contar productos</t>
  </si>
  <si>
    <t xml:space="preserve">Promedio de importe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</si>
</sst>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2" borderId="0" xfId="0" applyFont="1" applyFill="1"/>
    <xf numFmtId="164" fontId="2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E15"/>
    </sheetView>
  </sheetViews>
  <sheetFormatPr baseColWidth="10" defaultRowHeight="15" x14ac:dyDescent="0.25"/>
  <cols>
    <col min="1" max="1" width="11.85546875" bestFit="1" customWidth="1"/>
    <col min="2" max="2" width="28.85546875" customWidth="1"/>
    <col min="4" max="4" width="12.5703125" style="1" bestFit="1" customWidth="1"/>
    <col min="5" max="5" width="11.42578125" style="1"/>
  </cols>
  <sheetData>
    <row r="1" spans="1:5" x14ac:dyDescent="0.25">
      <c r="A1" s="2" t="s">
        <v>23</v>
      </c>
      <c r="B1" s="2" t="s">
        <v>0</v>
      </c>
      <c r="C1" s="2" t="s">
        <v>1</v>
      </c>
      <c r="D1" s="3" t="s">
        <v>2</v>
      </c>
      <c r="E1" s="3" t="s">
        <v>3</v>
      </c>
    </row>
    <row r="2" spans="1:5" x14ac:dyDescent="0.25">
      <c r="A2" t="s">
        <v>4</v>
      </c>
      <c r="B2" t="s">
        <v>6</v>
      </c>
      <c r="C2">
        <v>12</v>
      </c>
      <c r="D2" s="1">
        <v>6500</v>
      </c>
      <c r="E2" s="1">
        <f>PRODUCT(C2,D2)</f>
        <v>78000</v>
      </c>
    </row>
    <row r="3" spans="1:5" x14ac:dyDescent="0.25">
      <c r="A3" t="s">
        <v>5</v>
      </c>
      <c r="B3" t="s">
        <v>7</v>
      </c>
      <c r="C3">
        <v>10</v>
      </c>
      <c r="D3" s="1">
        <v>4800</v>
      </c>
      <c r="E3" s="1">
        <f t="shared" ref="E3:E15" si="0">PRODUCT(C3,D3)</f>
        <v>48000</v>
      </c>
    </row>
    <row r="4" spans="1:5" x14ac:dyDescent="0.25">
      <c r="A4" t="s">
        <v>4</v>
      </c>
      <c r="B4" t="s">
        <v>8</v>
      </c>
      <c r="C4">
        <v>8</v>
      </c>
      <c r="D4" s="1">
        <v>7800</v>
      </c>
      <c r="E4" s="1">
        <f t="shared" si="0"/>
        <v>62400</v>
      </c>
    </row>
    <row r="5" spans="1:5" x14ac:dyDescent="0.25">
      <c r="A5" t="s">
        <v>9</v>
      </c>
      <c r="B5" t="s">
        <v>10</v>
      </c>
      <c r="C5">
        <v>7</v>
      </c>
      <c r="D5" s="1">
        <v>8500</v>
      </c>
      <c r="E5" s="1">
        <f t="shared" si="0"/>
        <v>59500</v>
      </c>
    </row>
    <row r="6" spans="1:5" x14ac:dyDescent="0.25">
      <c r="A6" t="s">
        <v>9</v>
      </c>
      <c r="B6" t="s">
        <v>11</v>
      </c>
      <c r="C6">
        <v>4</v>
      </c>
      <c r="D6" s="1">
        <v>5000</v>
      </c>
      <c r="E6" s="1">
        <f t="shared" si="0"/>
        <v>20000</v>
      </c>
    </row>
    <row r="7" spans="1:5" x14ac:dyDescent="0.25">
      <c r="A7" t="s">
        <v>12</v>
      </c>
      <c r="B7" t="s">
        <v>13</v>
      </c>
      <c r="C7">
        <v>4</v>
      </c>
      <c r="D7" s="1">
        <v>1800</v>
      </c>
      <c r="E7" s="1">
        <f t="shared" si="0"/>
        <v>7200</v>
      </c>
    </row>
    <row r="8" spans="1:5" x14ac:dyDescent="0.25">
      <c r="A8" t="s">
        <v>12</v>
      </c>
      <c r="B8" t="s">
        <v>14</v>
      </c>
      <c r="C8">
        <v>3</v>
      </c>
      <c r="D8" s="1">
        <v>2600</v>
      </c>
      <c r="E8" s="1">
        <f t="shared" si="0"/>
        <v>7800</v>
      </c>
    </row>
    <row r="9" spans="1:5" x14ac:dyDescent="0.25">
      <c r="A9" t="s">
        <v>12</v>
      </c>
      <c r="B9" t="s">
        <v>15</v>
      </c>
      <c r="C9">
        <v>5</v>
      </c>
      <c r="D9" s="1">
        <v>1200</v>
      </c>
      <c r="E9" s="1">
        <f t="shared" si="0"/>
        <v>6000</v>
      </c>
    </row>
    <row r="10" spans="1:5" x14ac:dyDescent="0.25">
      <c r="A10" t="s">
        <v>5</v>
      </c>
      <c r="B10" t="s">
        <v>16</v>
      </c>
      <c r="C10">
        <v>2</v>
      </c>
      <c r="D10" s="1">
        <v>9400</v>
      </c>
      <c r="E10" s="1">
        <f t="shared" si="0"/>
        <v>18800</v>
      </c>
    </row>
    <row r="11" spans="1:5" x14ac:dyDescent="0.25">
      <c r="A11" t="s">
        <v>4</v>
      </c>
      <c r="B11" t="s">
        <v>17</v>
      </c>
      <c r="C11">
        <v>8</v>
      </c>
      <c r="D11" s="1">
        <v>12000</v>
      </c>
      <c r="E11" s="1">
        <f t="shared" si="0"/>
        <v>96000</v>
      </c>
    </row>
    <row r="12" spans="1:5" x14ac:dyDescent="0.25">
      <c r="A12" t="s">
        <v>18</v>
      </c>
      <c r="B12" t="s">
        <v>19</v>
      </c>
      <c r="C12">
        <v>6</v>
      </c>
      <c r="D12" s="1">
        <v>2500</v>
      </c>
      <c r="E12" s="1">
        <f t="shared" si="0"/>
        <v>15000</v>
      </c>
    </row>
    <row r="13" spans="1:5" x14ac:dyDescent="0.25">
      <c r="A13" t="s">
        <v>18</v>
      </c>
      <c r="B13" t="s">
        <v>20</v>
      </c>
      <c r="C13">
        <v>6</v>
      </c>
      <c r="D13" s="1">
        <v>6500</v>
      </c>
      <c r="E13" s="1">
        <f t="shared" si="0"/>
        <v>39000</v>
      </c>
    </row>
    <row r="14" spans="1:5" x14ac:dyDescent="0.25">
      <c r="A14" t="s">
        <v>5</v>
      </c>
      <c r="B14" t="s">
        <v>21</v>
      </c>
      <c r="C14">
        <v>2</v>
      </c>
      <c r="D14" s="1">
        <v>2400</v>
      </c>
      <c r="E14" s="1">
        <f t="shared" si="0"/>
        <v>4800</v>
      </c>
    </row>
    <row r="15" spans="1:5" x14ac:dyDescent="0.25">
      <c r="A15" t="s">
        <v>4</v>
      </c>
      <c r="B15" t="s">
        <v>22</v>
      </c>
      <c r="C15">
        <v>1</v>
      </c>
      <c r="D15" s="1">
        <v>1800</v>
      </c>
      <c r="E15" s="1">
        <f t="shared" si="0"/>
        <v>1800</v>
      </c>
    </row>
    <row r="17" spans="1:5" x14ac:dyDescent="0.25">
      <c r="A17">
        <f>DMAX(A1:E15,D1,A25:E26)</f>
        <v>8500</v>
      </c>
    </row>
    <row r="18" spans="1:5" x14ac:dyDescent="0.25">
      <c r="A18">
        <f>DSUM(A1:E15,E1,A28:E29)</f>
        <v>6000</v>
      </c>
    </row>
    <row r="19" spans="1:5" x14ac:dyDescent="0.25">
      <c r="A19">
        <f>DGET(A1:E15,D1,A31:E32)</f>
        <v>1800</v>
      </c>
    </row>
    <row r="20" spans="1:5" x14ac:dyDescent="0.25">
      <c r="A20">
        <f>DCOUNTA(A1:E15,B1,A34:F35)</f>
        <v>6</v>
      </c>
    </row>
    <row r="25" spans="1:5" x14ac:dyDescent="0.25">
      <c r="A25" s="2" t="s">
        <v>23</v>
      </c>
      <c r="B25" s="2" t="s">
        <v>0</v>
      </c>
      <c r="C25" s="2" t="s">
        <v>1</v>
      </c>
      <c r="D25" s="3" t="s">
        <v>2</v>
      </c>
      <c r="E25" s="3" t="s">
        <v>3</v>
      </c>
    </row>
    <row r="26" spans="1:5" x14ac:dyDescent="0.25">
      <c r="A26" t="s">
        <v>9</v>
      </c>
    </row>
    <row r="28" spans="1:5" x14ac:dyDescent="0.25">
      <c r="A28" s="2" t="s">
        <v>23</v>
      </c>
      <c r="B28" s="2" t="s">
        <v>0</v>
      </c>
      <c r="C28" s="2" t="s">
        <v>1</v>
      </c>
      <c r="D28" s="3" t="s">
        <v>2</v>
      </c>
      <c r="E28" s="3" t="s">
        <v>3</v>
      </c>
    </row>
    <row r="29" spans="1:5" x14ac:dyDescent="0.25">
      <c r="A29" t="s">
        <v>12</v>
      </c>
      <c r="C29" t="s">
        <v>24</v>
      </c>
    </row>
    <row r="31" spans="1:5" x14ac:dyDescent="0.25">
      <c r="A31" s="2" t="s">
        <v>23</v>
      </c>
      <c r="B31" s="2" t="s">
        <v>0</v>
      </c>
      <c r="C31" s="2" t="s">
        <v>1</v>
      </c>
      <c r="D31" s="3" t="s">
        <v>2</v>
      </c>
      <c r="E31" s="3" t="s">
        <v>3</v>
      </c>
    </row>
    <row r="32" spans="1:5" x14ac:dyDescent="0.25">
      <c r="B32" t="s">
        <v>13</v>
      </c>
    </row>
    <row r="34" spans="1:6" x14ac:dyDescent="0.25">
      <c r="A34" s="2" t="s">
        <v>23</v>
      </c>
      <c r="B34" s="2" t="s">
        <v>0</v>
      </c>
      <c r="C34" s="2" t="s">
        <v>1</v>
      </c>
      <c r="D34" s="3" t="s">
        <v>2</v>
      </c>
      <c r="E34" s="3" t="s">
        <v>3</v>
      </c>
      <c r="F34" s="2" t="s">
        <v>1</v>
      </c>
    </row>
    <row r="35" spans="1:6" x14ac:dyDescent="0.25">
      <c r="C35" t="s">
        <v>25</v>
      </c>
      <c r="F35" t="s">
        <v>26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J12" sqref="J12"/>
    </sheetView>
  </sheetViews>
  <sheetFormatPr baseColWidth="10" defaultRowHeight="15" x14ac:dyDescent="0.25"/>
  <cols>
    <col min="1" max="1" width="16.28515625" customWidth="1"/>
    <col min="2" max="2" width="29" customWidth="1"/>
  </cols>
  <sheetData>
    <row r="1" spans="1:5" x14ac:dyDescent="0.25">
      <c r="A1" s="2" t="s">
        <v>23</v>
      </c>
      <c r="B1" s="2" t="s">
        <v>0</v>
      </c>
      <c r="C1" s="2" t="s">
        <v>1</v>
      </c>
      <c r="D1" s="3" t="s">
        <v>2</v>
      </c>
      <c r="E1" s="3" t="s">
        <v>3</v>
      </c>
    </row>
    <row r="2" spans="1:5" x14ac:dyDescent="0.25">
      <c r="A2" t="s">
        <v>4</v>
      </c>
      <c r="B2" t="s">
        <v>6</v>
      </c>
      <c r="C2">
        <v>12</v>
      </c>
      <c r="D2" s="1">
        <v>6500</v>
      </c>
      <c r="E2" s="1">
        <f>PRODUCT(C2,D2)</f>
        <v>78000</v>
      </c>
    </row>
    <row r="3" spans="1:5" x14ac:dyDescent="0.25">
      <c r="A3" t="s">
        <v>5</v>
      </c>
      <c r="B3" t="s">
        <v>7</v>
      </c>
      <c r="C3">
        <v>10</v>
      </c>
      <c r="D3" s="1">
        <v>4800</v>
      </c>
      <c r="E3" s="1">
        <f t="shared" ref="E3:E15" si="0">PRODUCT(C3,D3)</f>
        <v>48000</v>
      </c>
    </row>
    <row r="4" spans="1:5" x14ac:dyDescent="0.25">
      <c r="A4" t="s">
        <v>4</v>
      </c>
      <c r="B4" t="s">
        <v>8</v>
      </c>
      <c r="C4">
        <v>8</v>
      </c>
      <c r="D4" s="1">
        <v>7800</v>
      </c>
      <c r="E4" s="1">
        <f t="shared" si="0"/>
        <v>62400</v>
      </c>
    </row>
    <row r="5" spans="1:5" x14ac:dyDescent="0.25">
      <c r="A5" t="s">
        <v>9</v>
      </c>
      <c r="B5" t="s">
        <v>10</v>
      </c>
      <c r="C5">
        <v>7</v>
      </c>
      <c r="D5" s="1">
        <v>8500</v>
      </c>
      <c r="E5" s="1">
        <f t="shared" si="0"/>
        <v>59500</v>
      </c>
    </row>
    <row r="6" spans="1:5" x14ac:dyDescent="0.25">
      <c r="A6" t="s">
        <v>9</v>
      </c>
      <c r="B6" t="s">
        <v>11</v>
      </c>
      <c r="C6">
        <v>4</v>
      </c>
      <c r="D6" s="1">
        <v>5000</v>
      </c>
      <c r="E6" s="1">
        <f t="shared" si="0"/>
        <v>20000</v>
      </c>
    </row>
    <row r="7" spans="1:5" x14ac:dyDescent="0.25">
      <c r="A7" t="s">
        <v>12</v>
      </c>
      <c r="B7" t="s">
        <v>13</v>
      </c>
      <c r="C7">
        <v>4</v>
      </c>
      <c r="D7" s="1">
        <v>1800</v>
      </c>
      <c r="E7" s="1">
        <f t="shared" si="0"/>
        <v>7200</v>
      </c>
    </row>
    <row r="8" spans="1:5" x14ac:dyDescent="0.25">
      <c r="A8" t="s">
        <v>12</v>
      </c>
      <c r="B8" t="s">
        <v>14</v>
      </c>
      <c r="C8">
        <v>3</v>
      </c>
      <c r="D8" s="1">
        <v>2600</v>
      </c>
      <c r="E8" s="1">
        <f t="shared" si="0"/>
        <v>7800</v>
      </c>
    </row>
    <row r="9" spans="1:5" x14ac:dyDescent="0.25">
      <c r="A9" t="s">
        <v>12</v>
      </c>
      <c r="B9" t="s">
        <v>15</v>
      </c>
      <c r="C9">
        <v>5</v>
      </c>
      <c r="D9" s="1">
        <v>1200</v>
      </c>
      <c r="E9" s="1">
        <f t="shared" si="0"/>
        <v>6000</v>
      </c>
    </row>
    <row r="10" spans="1:5" x14ac:dyDescent="0.25">
      <c r="A10" t="s">
        <v>5</v>
      </c>
      <c r="B10" t="s">
        <v>16</v>
      </c>
      <c r="C10">
        <v>2</v>
      </c>
      <c r="D10" s="1">
        <v>9400</v>
      </c>
      <c r="E10" s="1">
        <f t="shared" si="0"/>
        <v>18800</v>
      </c>
    </row>
    <row r="11" spans="1:5" x14ac:dyDescent="0.25">
      <c r="A11" t="s">
        <v>4</v>
      </c>
      <c r="B11" t="s">
        <v>17</v>
      </c>
      <c r="C11">
        <v>8</v>
      </c>
      <c r="D11" s="1">
        <v>12000</v>
      </c>
      <c r="E11" s="1">
        <f t="shared" si="0"/>
        <v>96000</v>
      </c>
    </row>
    <row r="12" spans="1:5" x14ac:dyDescent="0.25">
      <c r="A12" t="s">
        <v>18</v>
      </c>
      <c r="B12" t="s">
        <v>19</v>
      </c>
      <c r="C12">
        <v>6</v>
      </c>
      <c r="D12" s="1">
        <v>2500</v>
      </c>
      <c r="E12" s="1">
        <f t="shared" si="0"/>
        <v>15000</v>
      </c>
    </row>
    <row r="13" spans="1:5" x14ac:dyDescent="0.25">
      <c r="A13" t="s">
        <v>18</v>
      </c>
      <c r="B13" t="s">
        <v>20</v>
      </c>
      <c r="C13">
        <v>6</v>
      </c>
      <c r="D13" s="1">
        <v>6500</v>
      </c>
      <c r="E13" s="1">
        <f t="shared" si="0"/>
        <v>39000</v>
      </c>
    </row>
    <row r="14" spans="1:5" x14ac:dyDescent="0.25">
      <c r="A14" t="s">
        <v>5</v>
      </c>
      <c r="B14" t="s">
        <v>21</v>
      </c>
      <c r="C14">
        <v>2</v>
      </c>
      <c r="D14" s="1">
        <v>2400</v>
      </c>
      <c r="E14" s="1">
        <f t="shared" si="0"/>
        <v>4800</v>
      </c>
    </row>
    <row r="15" spans="1:5" x14ac:dyDescent="0.25">
      <c r="A15" t="s">
        <v>4</v>
      </c>
      <c r="B15" t="s">
        <v>22</v>
      </c>
      <c r="C15">
        <v>1</v>
      </c>
      <c r="D15" s="1">
        <v>1800</v>
      </c>
      <c r="E15" s="1">
        <f t="shared" si="0"/>
        <v>1800</v>
      </c>
    </row>
    <row r="18" spans="1:2" x14ac:dyDescent="0.25">
      <c r="A18" s="4" t="s">
        <v>27</v>
      </c>
      <c r="B18">
        <f>SUMIFS(E2:E15,A2:A15,"c",C2:C15,"&lt;10")</f>
        <v>23600</v>
      </c>
    </row>
    <row r="19" spans="1:2" x14ac:dyDescent="0.25">
      <c r="A19" s="4" t="s">
        <v>28</v>
      </c>
      <c r="B19">
        <f>COUNTIFS(A2:A15,"r",D2:D15,"&gt;2000",C2:C15,"&lt;4")</f>
        <v>1</v>
      </c>
    </row>
    <row r="20" spans="1:2" x14ac:dyDescent="0.25">
      <c r="A20" s="4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A18" sqref="A18"/>
    </sheetView>
  </sheetViews>
  <sheetFormatPr baseColWidth="10" defaultRowHeight="15" x14ac:dyDescent="0.25"/>
  <sheetData>
    <row r="1" spans="1:5" x14ac:dyDescent="0.25">
      <c r="A1" s="2" t="s">
        <v>23</v>
      </c>
      <c r="B1" s="2" t="s">
        <v>0</v>
      </c>
      <c r="C1" s="2" t="s">
        <v>1</v>
      </c>
      <c r="D1" s="3" t="s">
        <v>2</v>
      </c>
      <c r="E1" s="3" t="s">
        <v>3</v>
      </c>
    </row>
    <row r="2" spans="1:5" x14ac:dyDescent="0.25">
      <c r="A2" t="s">
        <v>5</v>
      </c>
      <c r="B2" t="s">
        <v>21</v>
      </c>
      <c r="C2">
        <v>2</v>
      </c>
      <c r="D2" s="1">
        <v>2400</v>
      </c>
      <c r="E2" s="1">
        <f t="shared" ref="E2:E15" si="0">PRODUCT(C2,D2)</f>
        <v>4800</v>
      </c>
    </row>
    <row r="3" spans="1:5" x14ac:dyDescent="0.25">
      <c r="A3" t="s">
        <v>5</v>
      </c>
      <c r="B3" t="s">
        <v>7</v>
      </c>
      <c r="C3">
        <v>10</v>
      </c>
      <c r="D3" s="1">
        <v>4800</v>
      </c>
      <c r="E3" s="1">
        <f t="shared" si="0"/>
        <v>48000</v>
      </c>
    </row>
    <row r="4" spans="1:5" x14ac:dyDescent="0.25">
      <c r="A4" t="s">
        <v>5</v>
      </c>
      <c r="B4" t="s">
        <v>16</v>
      </c>
      <c r="C4">
        <v>2</v>
      </c>
      <c r="D4" s="1">
        <v>9400</v>
      </c>
      <c r="E4" s="1">
        <f t="shared" si="0"/>
        <v>18800</v>
      </c>
    </row>
    <row r="5" spans="1:5" x14ac:dyDescent="0.25">
      <c r="A5" t="s">
        <v>9</v>
      </c>
      <c r="B5" t="s">
        <v>11</v>
      </c>
      <c r="C5">
        <v>4</v>
      </c>
      <c r="D5" s="1">
        <v>5000</v>
      </c>
      <c r="E5" s="1">
        <f t="shared" si="0"/>
        <v>20000</v>
      </c>
    </row>
    <row r="6" spans="1:5" x14ac:dyDescent="0.25">
      <c r="A6" t="s">
        <v>9</v>
      </c>
      <c r="B6" t="s">
        <v>10</v>
      </c>
      <c r="C6">
        <v>7</v>
      </c>
      <c r="D6" s="1">
        <v>8500</v>
      </c>
      <c r="E6" s="1">
        <f t="shared" si="0"/>
        <v>59500</v>
      </c>
    </row>
    <row r="7" spans="1:5" x14ac:dyDescent="0.25">
      <c r="A7" t="s">
        <v>12</v>
      </c>
      <c r="B7" t="s">
        <v>15</v>
      </c>
      <c r="C7">
        <v>5</v>
      </c>
      <c r="D7" s="1">
        <v>1200</v>
      </c>
      <c r="E7" s="1">
        <f t="shared" si="0"/>
        <v>6000</v>
      </c>
    </row>
    <row r="8" spans="1:5" x14ac:dyDescent="0.25">
      <c r="A8" t="s">
        <v>12</v>
      </c>
      <c r="B8" t="s">
        <v>14</v>
      </c>
      <c r="C8">
        <v>3</v>
      </c>
      <c r="D8" s="1">
        <v>2600</v>
      </c>
      <c r="E8" s="1">
        <f t="shared" si="0"/>
        <v>7800</v>
      </c>
    </row>
    <row r="9" spans="1:5" x14ac:dyDescent="0.25">
      <c r="A9" t="s">
        <v>12</v>
      </c>
      <c r="B9" t="s">
        <v>13</v>
      </c>
      <c r="C9">
        <v>4</v>
      </c>
      <c r="D9" s="1">
        <v>1800</v>
      </c>
      <c r="E9" s="1">
        <f t="shared" si="0"/>
        <v>7200</v>
      </c>
    </row>
    <row r="10" spans="1:5" x14ac:dyDescent="0.25">
      <c r="A10" t="s">
        <v>4</v>
      </c>
      <c r="B10" t="s">
        <v>6</v>
      </c>
      <c r="C10">
        <v>12</v>
      </c>
      <c r="D10" s="1">
        <v>6500</v>
      </c>
      <c r="E10" s="1">
        <f t="shared" si="0"/>
        <v>78000</v>
      </c>
    </row>
    <row r="11" spans="1:5" x14ac:dyDescent="0.25">
      <c r="A11" t="s">
        <v>4</v>
      </c>
      <c r="B11" t="s">
        <v>17</v>
      </c>
      <c r="C11">
        <v>8</v>
      </c>
      <c r="D11" s="1">
        <v>12000</v>
      </c>
      <c r="E11" s="1">
        <f t="shared" si="0"/>
        <v>96000</v>
      </c>
    </row>
    <row r="12" spans="1:5" x14ac:dyDescent="0.25">
      <c r="A12" t="s">
        <v>4</v>
      </c>
      <c r="B12" t="s">
        <v>8</v>
      </c>
      <c r="C12">
        <v>8</v>
      </c>
      <c r="D12" s="1">
        <v>7800</v>
      </c>
      <c r="E12" s="1">
        <f t="shared" si="0"/>
        <v>62400</v>
      </c>
    </row>
    <row r="13" spans="1:5" x14ac:dyDescent="0.25">
      <c r="A13" t="s">
        <v>4</v>
      </c>
      <c r="B13" t="s">
        <v>22</v>
      </c>
      <c r="C13">
        <v>1</v>
      </c>
      <c r="D13" s="1">
        <v>1800</v>
      </c>
      <c r="E13" s="1">
        <f t="shared" si="0"/>
        <v>1800</v>
      </c>
    </row>
    <row r="14" spans="1:5" x14ac:dyDescent="0.25">
      <c r="A14" t="s">
        <v>18</v>
      </c>
      <c r="B14" t="s">
        <v>20</v>
      </c>
      <c r="C14">
        <v>6</v>
      </c>
      <c r="D14" s="1">
        <v>6500</v>
      </c>
      <c r="E14" s="1">
        <f t="shared" si="0"/>
        <v>39000</v>
      </c>
    </row>
    <row r="15" spans="1:5" x14ac:dyDescent="0.25">
      <c r="A15" t="s">
        <v>18</v>
      </c>
      <c r="B15" t="s">
        <v>19</v>
      </c>
      <c r="C15">
        <v>6</v>
      </c>
      <c r="D15" s="1">
        <v>2500</v>
      </c>
      <c r="E15" s="1">
        <f t="shared" si="0"/>
        <v>15000</v>
      </c>
    </row>
  </sheetData>
  <sortState ref="A2:E15">
    <sortCondition ref="A2:A15"/>
    <sortCondition ref="B2:B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2025-10-02T16:08:01Z</dcterms:created>
  <dcterms:modified xsi:type="dcterms:W3CDTF">2026-02-19T20:29:27Z</dcterms:modified>
</cp:coreProperties>
</file>