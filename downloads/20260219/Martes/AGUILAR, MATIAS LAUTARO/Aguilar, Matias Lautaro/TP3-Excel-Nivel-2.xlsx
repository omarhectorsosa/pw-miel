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187E5608-869E-44E6-ABA0-EEA30CE93FB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3" i="2"/>
  <c r="E7" i="2"/>
  <c r="E8" i="2"/>
  <c r="E9" i="2"/>
  <c r="E5" i="2"/>
  <c r="E6" i="2"/>
  <c r="E11" i="2"/>
  <c r="E4" i="2"/>
  <c r="E10" i="2"/>
  <c r="A20" i="1"/>
  <c r="A19" i="1"/>
  <c r="A18" i="1"/>
  <c r="A17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<sst xmlns="http://schemas.openxmlformats.org/spreadsheetml/2006/main" count="129" uniqueCount="31">
  <si>
    <t>CODIGO</t>
  </si>
  <si>
    <t>DESCRIPCION</t>
  </si>
  <si>
    <t>CANTIDAD</t>
  </si>
  <si>
    <t>PRECIO UNIT.</t>
  </si>
  <si>
    <t>TOTAL</t>
  </si>
  <si>
    <t>T</t>
  </si>
  <si>
    <t>Televisor 32"</t>
  </si>
  <si>
    <t xml:space="preserve">C 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</si>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</sst>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sqref="A1:E15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  <col min="6" max="6" width="10.140625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8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8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  <c r="H3" s="3"/>
    </row>
    <row r="4" spans="1:8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8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8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8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8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8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8">
      <c r="A10" s="1" t="s">
        <v>17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8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8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8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8">
      <c r="A14" s="1" t="s">
        <v>17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8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>
      <c r="A26" s="1" t="s">
        <v>10</v>
      </c>
      <c r="B26" s="1"/>
      <c r="C26" s="1"/>
      <c r="D26" s="1"/>
      <c r="E26" s="1"/>
    </row>
    <row r="30" spans="1:5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>
      <c r="A31" s="1" t="s">
        <v>13</v>
      </c>
      <c r="B31" s="1"/>
      <c r="C31" s="1" t="s">
        <v>25</v>
      </c>
      <c r="D31" s="1"/>
      <c r="E31" s="1"/>
    </row>
    <row r="35" spans="1:6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6">
      <c r="A36" s="1"/>
      <c r="B36" s="1" t="s">
        <v>14</v>
      </c>
      <c r="C36" s="1"/>
      <c r="D36" s="1"/>
      <c r="E36" s="1"/>
    </row>
    <row r="40" spans="1:6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2</v>
      </c>
    </row>
    <row r="41" spans="1:6">
      <c r="A41" s="5"/>
      <c r="B41" s="5"/>
      <c r="C41" s="5" t="s">
        <v>26</v>
      </c>
      <c r="D41" s="5"/>
      <c r="E41" s="5"/>
      <c r="F41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C0D3-CAFF-4CD0-85A3-FFA5202E1D27}">
  <dimension ref="A1:E15"/>
  <sheetViews>
    <sheetView workbookViewId="0"/>
  </sheetViews>
  <sheetFormatPr defaultRowHeight="15"/>
  <cols>
    <col min="2" max="2" width="26" customWidth="1"/>
    <col min="3" max="3" width="10.42578125" customWidth="1"/>
    <col min="4" max="4" width="13.5703125" customWidth="1"/>
    <col min="5" max="5" width="11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17</v>
      </c>
      <c r="B2" s="1" t="s">
        <v>23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17</v>
      </c>
      <c r="B3" s="1" t="s">
        <v>18</v>
      </c>
      <c r="C3" s="1">
        <v>2</v>
      </c>
      <c r="D3" s="2">
        <v>9400</v>
      </c>
      <c r="E3" s="2">
        <f>PRODUCT(C3,D3)</f>
        <v>18800</v>
      </c>
    </row>
    <row r="4" spans="1:5">
      <c r="A4" s="1" t="s">
        <v>7</v>
      </c>
      <c r="B4" s="1" t="s">
        <v>8</v>
      </c>
      <c r="C4" s="1">
        <v>10</v>
      </c>
      <c r="D4" s="2">
        <v>4800</v>
      </c>
      <c r="E4" s="2">
        <f>PRODUCT(C4,D4)</f>
        <v>48000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19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24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20</v>
      </c>
      <c r="B14" s="1" t="s">
        <v>22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20</v>
      </c>
      <c r="B15" s="1" t="s">
        <v>21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E007-421F-41BB-893D-77CD71EACC57}">
  <dimension ref="A1:E20"/>
  <sheetViews>
    <sheetView tabSelected="1" workbookViewId="0">
      <selection activeCell="A19" sqref="A19"/>
    </sheetView>
  </sheetViews>
  <sheetFormatPr defaultRowHeight="15"/>
  <cols>
    <col min="1" max="1" width="19.5703125" bestFit="1" customWidth="1"/>
    <col min="2" max="2" width="26.5703125" customWidth="1"/>
    <col min="3" max="3" width="10.7109375" customWidth="1"/>
    <col min="4" max="4" width="14.7109375" customWidth="1"/>
    <col min="5" max="5" width="12.855468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17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17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8" spans="1:2">
      <c r="A18" s="6" t="s">
        <v>28</v>
      </c>
      <c r="B18">
        <f>SUMIFS(E2:E15,A2:A15,"C",C2:C15,"&lt;10")</f>
        <v>23600</v>
      </c>
    </row>
    <row r="19" spans="1:2">
      <c r="A19" s="6" t="s">
        <v>29</v>
      </c>
      <c r="B19">
        <f>COUNTIFS(A2:A15,"R",D2:D15,"&gt;2000",C2:C15,"&lt;4")</f>
        <v>1</v>
      </c>
    </row>
    <row r="20" spans="1:2">
      <c r="A20" s="6" t="s">
        <v>30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2026-02-19T19:14:23Z</dcterms:created>
  <dcterms:modified xsi:type="dcterms:W3CDTF">2026-02-19T20:04:17Z</dcterms:modified>
  <cp:category/>
  <cp:contentStatus/>
</cp:coreProperties>
</file>