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2B175D91-D4A1-46CB-BCBC-2E37B82A572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3" i="1" l="1"/>
  <c r="V22" i="1"/>
  <c r="V21" i="1"/>
  <c r="V20" i="1"/>
  <c r="V19" i="1"/>
  <c r="V18" i="1"/>
  <c r="V17" i="1"/>
  <c r="V16" i="1"/>
  <c r="V15" i="1"/>
  <c r="V14" i="1"/>
  <c r="V4" i="1"/>
  <c r="V3" i="1"/>
  <c r="V2" i="1"/>
  <c r="N21" i="1"/>
  <c r="N20" i="1"/>
  <c r="N19" i="1"/>
  <c r="N18" i="1"/>
  <c r="N17" i="1"/>
  <c r="N16" i="1"/>
  <c r="N15" i="1"/>
  <c r="N13" i="1"/>
  <c r="N14" i="1"/>
  <c r="N3" i="1"/>
  <c r="N2" i="1"/>
  <c r="E12" i="1"/>
  <c r="E9" i="1"/>
  <c r="E4" i="1"/>
  <c r="E13" i="1"/>
  <c r="E3" i="1"/>
  <c r="E8" i="1"/>
  <c r="E2" i="1"/>
  <c r="E10" i="1"/>
  <c r="E11" i="1"/>
  <c r="E7" i="1"/>
  <c r="E15" i="1"/>
  <c r="E6" i="1"/>
  <c r="E5" i="1"/>
  <c r="E14" i="1"/>
</calcChain>
</file>

<file path=xl/sharedStrings.xml><?xml version="1.0" encoding="utf-8"?>
<sst xmlns="http://schemas.openxmlformats.org/spreadsheetml/2006/main" count="105" uniqueCount="28">
  <si>
    <t>CODIGO</t>
  </si>
  <si>
    <t xml:space="preserve">DESCRIPCIÓN </t>
  </si>
  <si>
    <t>CANTIDAD</t>
  </si>
  <si>
    <t>PRECIO UNIT.</t>
  </si>
  <si>
    <t>TOTAL</t>
  </si>
  <si>
    <t>5.A)</t>
  </si>
  <si>
    <t>5.c)</t>
  </si>
  <si>
    <t>R</t>
  </si>
  <si>
    <t xml:space="preserve">Radio AM/FM 3 BANDAS </t>
  </si>
  <si>
    <t>T</t>
  </si>
  <si>
    <t>Televisor 42" LED</t>
  </si>
  <si>
    <t>Radio con CD y mp3</t>
  </si>
  <si>
    <t xml:space="preserve">Radio onda Corta </t>
  </si>
  <si>
    <t>TV portatil (12V)</t>
  </si>
  <si>
    <t>H</t>
  </si>
  <si>
    <t>Heladera 12 pies, con freezer</t>
  </si>
  <si>
    <t>C</t>
  </si>
  <si>
    <t>Anafe 2 hornallas</t>
  </si>
  <si>
    <t>V</t>
  </si>
  <si>
    <t>Ventilador 25" giratorio</t>
  </si>
  <si>
    <t xml:space="preserve">Cocina industrial 6 hornallas </t>
  </si>
  <si>
    <t>Televisor 42" LED 3D</t>
  </si>
  <si>
    <t>Cocina 4 hornallas</t>
  </si>
  <si>
    <t>5.B)</t>
  </si>
  <si>
    <t>Freezer carga superior</t>
  </si>
  <si>
    <t>5.d)</t>
  </si>
  <si>
    <t>Televisor 32"</t>
  </si>
  <si>
    <t>Aire acondicionado F/C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</si>
</sst>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[$$-409]* #,##0_ ;_-[$$-409]* \-#,##0\ ;_-[$$-409]* &quot;-&quot;??_ ;_-@_ 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7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Border="1"/>
    <xf numFmtId="167" fontId="0" fillId="0" borderId="0" xfId="0" applyNumberFormat="1" applyBorder="1"/>
    <xf numFmtId="0" fontId="0" fillId="0" borderId="0" xfId="0" applyBorder="1" applyAlignment="1"/>
  </cellXfs>
  <cellStyles count="1">
    <cellStyle name="Normal" xfId="0" builtinId="0"/>
  </cellStyles>
  <dxfs count="28">
    <dxf>
      <font>
        <color rgb="FF92D05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rgb="FF92D05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rgb="FF92D05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rgb="FF92D05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rgb="FF92D05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rgb="FF92D05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rgb="FF92D05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rgb="FF92D05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rgb="FF92D05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rgb="FF92D05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rgb="FF92D05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rgb="FF92D05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rgb="FF92D05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rgb="FF9C0006"/>
      </font>
      <fill>
        <patternFill patternType="solid">
          <bgColor theme="0"/>
        </patternFill>
      </fill>
    </dxf>
    <dxf>
      <font>
        <color rgb="FF92D05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rgb="FF9C0006"/>
      </font>
      <fill>
        <patternFill patternType="solid"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abSelected="1" topLeftCell="K8" workbookViewId="0">
      <selection activeCell="Q14" sqref="Q14"/>
    </sheetView>
  </sheetViews>
  <sheetFormatPr defaultRowHeight="15"/>
  <cols>
    <col min="1" max="1" width="10.42578125" bestFit="1" customWidth="1"/>
    <col min="2" max="2" width="26.28515625" bestFit="1" customWidth="1"/>
    <col min="3" max="3" width="12.5703125" bestFit="1" customWidth="1"/>
    <col min="4" max="4" width="15.140625" bestFit="1" customWidth="1"/>
    <col min="5" max="5" width="8.85546875" bestFit="1" customWidth="1"/>
    <col min="10" max="10" width="8.140625" bestFit="1" customWidth="1"/>
    <col min="11" max="11" width="26.28515625" bestFit="1" customWidth="1"/>
    <col min="12" max="12" width="10.28515625" bestFit="1" customWidth="1"/>
    <col min="13" max="13" width="12.85546875" bestFit="1" customWidth="1"/>
    <col min="14" max="14" width="8.85546875" bestFit="1" customWidth="1"/>
    <col min="18" max="18" width="8.140625" bestFit="1" customWidth="1"/>
    <col min="19" max="19" width="22.85546875" bestFit="1" customWidth="1"/>
  </cols>
  <sheetData>
    <row r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I1" t="s">
        <v>5</v>
      </c>
      <c r="J1" s="3" t="s">
        <v>0</v>
      </c>
      <c r="K1" s="3" t="s">
        <v>1</v>
      </c>
      <c r="L1" s="3" t="s">
        <v>2</v>
      </c>
      <c r="M1" s="3" t="s">
        <v>3</v>
      </c>
      <c r="N1" s="3" t="s">
        <v>4</v>
      </c>
      <c r="Q1" t="s">
        <v>6</v>
      </c>
      <c r="R1" s="3" t="s">
        <v>0</v>
      </c>
      <c r="S1" s="3" t="s">
        <v>1</v>
      </c>
      <c r="T1" s="3" t="s">
        <v>2</v>
      </c>
      <c r="U1" s="3" t="s">
        <v>3</v>
      </c>
      <c r="V1" s="3" t="s">
        <v>4</v>
      </c>
    </row>
    <row r="2" spans="1:22">
      <c r="A2" s="1" t="s">
        <v>7</v>
      </c>
      <c r="B2" s="1" t="s">
        <v>8</v>
      </c>
      <c r="C2" s="1">
        <v>5</v>
      </c>
      <c r="D2" s="2">
        <v>1200</v>
      </c>
      <c r="E2" s="2">
        <f>PRODUCT(C2,D2)</f>
        <v>6000</v>
      </c>
      <c r="J2" s="1" t="s">
        <v>9</v>
      </c>
      <c r="K2" s="1" t="s">
        <v>10</v>
      </c>
      <c r="L2" s="1">
        <v>8</v>
      </c>
      <c r="M2" s="2">
        <v>7800</v>
      </c>
      <c r="N2" s="2">
        <f t="shared" ref="N2:N3" si="0">PRODUCT(L2,M2)</f>
        <v>62400</v>
      </c>
      <c r="R2" s="1" t="s">
        <v>7</v>
      </c>
      <c r="S2" s="1" t="s">
        <v>11</v>
      </c>
      <c r="T2" s="1">
        <v>3</v>
      </c>
      <c r="U2" s="2">
        <v>2600</v>
      </c>
      <c r="V2" s="2">
        <f>PRODUCT(T2,U2)</f>
        <v>7800</v>
      </c>
    </row>
    <row r="3" spans="1:22">
      <c r="A3" s="1" t="s">
        <v>7</v>
      </c>
      <c r="B3" s="1" t="s">
        <v>12</v>
      </c>
      <c r="C3" s="1">
        <v>4</v>
      </c>
      <c r="D3" s="2">
        <v>1800</v>
      </c>
      <c r="E3" s="2">
        <f>PRODUCT(C3,D3)</f>
        <v>7200</v>
      </c>
      <c r="J3" s="1" t="s">
        <v>9</v>
      </c>
      <c r="K3" s="1" t="s">
        <v>13</v>
      </c>
      <c r="L3" s="1">
        <v>1</v>
      </c>
      <c r="M3" s="2">
        <v>1800</v>
      </c>
      <c r="N3" s="2">
        <f t="shared" si="0"/>
        <v>1800</v>
      </c>
      <c r="R3" s="1" t="s">
        <v>7</v>
      </c>
      <c r="S3" s="1" t="s">
        <v>12</v>
      </c>
      <c r="T3" s="1">
        <v>4</v>
      </c>
      <c r="U3" s="2">
        <v>1800</v>
      </c>
      <c r="V3" s="2">
        <f>PRODUCT(T3,U3)</f>
        <v>7200</v>
      </c>
    </row>
    <row r="4" spans="1:22">
      <c r="A4" s="1" t="s">
        <v>14</v>
      </c>
      <c r="B4" s="1" t="s">
        <v>15</v>
      </c>
      <c r="C4" s="1">
        <v>7</v>
      </c>
      <c r="D4" s="2">
        <v>8500</v>
      </c>
      <c r="E4" s="2">
        <f>PRODUCT(C4,D4)</f>
        <v>59500</v>
      </c>
      <c r="R4" s="1" t="s">
        <v>7</v>
      </c>
      <c r="S4" s="1" t="s">
        <v>8</v>
      </c>
      <c r="T4" s="1">
        <v>5</v>
      </c>
      <c r="U4" s="2">
        <v>1200</v>
      </c>
      <c r="V4" s="2">
        <f>PRODUCT(T4,U4)</f>
        <v>6000</v>
      </c>
    </row>
    <row r="5" spans="1:22">
      <c r="A5" s="1" t="s">
        <v>9</v>
      </c>
      <c r="B5" s="1" t="s">
        <v>13</v>
      </c>
      <c r="C5" s="1">
        <v>1</v>
      </c>
      <c r="D5" s="2">
        <v>1800</v>
      </c>
      <c r="E5" s="2">
        <f>PRODUCT(C5,D5)</f>
        <v>1800</v>
      </c>
    </row>
    <row r="6" spans="1:22">
      <c r="A6" s="1" t="s">
        <v>16</v>
      </c>
      <c r="B6" s="1" t="s">
        <v>17</v>
      </c>
      <c r="C6" s="1">
        <v>2</v>
      </c>
      <c r="D6" s="2">
        <v>2400</v>
      </c>
      <c r="E6" s="2">
        <f>PRODUCT(C6,D6)</f>
        <v>4800</v>
      </c>
      <c r="R6" s="4"/>
      <c r="S6" s="6"/>
      <c r="T6" s="6"/>
      <c r="U6" s="6"/>
      <c r="V6" s="5"/>
    </row>
    <row r="7" spans="1:22">
      <c r="A7" s="1" t="s">
        <v>18</v>
      </c>
      <c r="B7" s="1" t="s">
        <v>19</v>
      </c>
      <c r="C7" s="1">
        <v>6</v>
      </c>
      <c r="D7" s="2">
        <v>2500</v>
      </c>
      <c r="E7" s="2">
        <f>PRODUCT(C7,D7)</f>
        <v>15000</v>
      </c>
      <c r="R7" s="4"/>
      <c r="S7" s="4"/>
      <c r="T7" s="6"/>
      <c r="U7" s="6"/>
      <c r="V7" s="5"/>
    </row>
    <row r="8" spans="1:22">
      <c r="A8" s="1" t="s">
        <v>7</v>
      </c>
      <c r="B8" s="1" t="s">
        <v>11</v>
      </c>
      <c r="C8" s="1">
        <v>3</v>
      </c>
      <c r="D8" s="2">
        <v>2600</v>
      </c>
      <c r="E8" s="2">
        <f>PRODUCT(C8,D8)</f>
        <v>7800</v>
      </c>
      <c r="R8" s="4"/>
      <c r="S8" s="4"/>
      <c r="T8" s="4"/>
      <c r="U8" s="5"/>
      <c r="V8" s="5"/>
    </row>
    <row r="9" spans="1:22">
      <c r="A9" s="1" t="s">
        <v>9</v>
      </c>
      <c r="B9" s="1" t="s">
        <v>10</v>
      </c>
      <c r="C9" s="1">
        <v>8</v>
      </c>
      <c r="D9" s="2">
        <v>7800</v>
      </c>
      <c r="E9" s="2">
        <f>PRODUCT(C9,D9)</f>
        <v>62400</v>
      </c>
    </row>
    <row r="10" spans="1:22">
      <c r="A10" s="1" t="s">
        <v>16</v>
      </c>
      <c r="B10" s="1" t="s">
        <v>20</v>
      </c>
      <c r="C10" s="1">
        <v>2</v>
      </c>
      <c r="D10" s="2">
        <v>9400</v>
      </c>
      <c r="E10" s="2">
        <f>PRODUCT(C10,D10)</f>
        <v>18800</v>
      </c>
    </row>
    <row r="11" spans="1:22">
      <c r="A11" s="1" t="s">
        <v>9</v>
      </c>
      <c r="B11" s="1" t="s">
        <v>21</v>
      </c>
      <c r="C11" s="1">
        <v>8</v>
      </c>
      <c r="D11" s="2">
        <v>12000</v>
      </c>
      <c r="E11" s="2">
        <f>PRODUCT(C11,D11)</f>
        <v>96000</v>
      </c>
    </row>
    <row r="12" spans="1:22">
      <c r="A12" s="1" t="s">
        <v>16</v>
      </c>
      <c r="B12" s="1" t="s">
        <v>22</v>
      </c>
      <c r="C12" s="1">
        <v>10</v>
      </c>
      <c r="D12" s="2">
        <v>4800</v>
      </c>
      <c r="E12" s="2">
        <f>PRODUCT(C12,D12)</f>
        <v>48000</v>
      </c>
      <c r="I12" t="s">
        <v>23</v>
      </c>
      <c r="J12" s="3" t="s">
        <v>0</v>
      </c>
      <c r="K12" s="3" t="s">
        <v>1</v>
      </c>
      <c r="L12" s="3" t="s">
        <v>2</v>
      </c>
      <c r="M12" s="3" t="s">
        <v>3</v>
      </c>
      <c r="N12" s="3" t="s">
        <v>4</v>
      </c>
    </row>
    <row r="13" spans="1:22">
      <c r="A13" s="1" t="s">
        <v>14</v>
      </c>
      <c r="B13" s="1" t="s">
        <v>24</v>
      </c>
      <c r="C13" s="1">
        <v>4</v>
      </c>
      <c r="D13" s="2">
        <v>5000</v>
      </c>
      <c r="E13" s="2">
        <f>PRODUCT(C13,D13)</f>
        <v>20000</v>
      </c>
      <c r="J13" s="1" t="s">
        <v>14</v>
      </c>
      <c r="K13" s="1" t="s">
        <v>15</v>
      </c>
      <c r="L13" s="1">
        <v>7</v>
      </c>
      <c r="M13" s="2">
        <v>8500</v>
      </c>
      <c r="N13" s="2">
        <f>PRODUCT(L13,M13)</f>
        <v>59500</v>
      </c>
      <c r="Q13" t="s">
        <v>25</v>
      </c>
      <c r="R13" s="3" t="s">
        <v>0</v>
      </c>
      <c r="S13" s="3" t="s">
        <v>1</v>
      </c>
      <c r="T13" s="3" t="s">
        <v>2</v>
      </c>
      <c r="U13" s="3" t="s">
        <v>3</v>
      </c>
      <c r="V13" s="3" t="s">
        <v>4</v>
      </c>
    </row>
    <row r="14" spans="1:22">
      <c r="A14" s="1" t="s">
        <v>9</v>
      </c>
      <c r="B14" s="1" t="s">
        <v>26</v>
      </c>
      <c r="C14" s="1">
        <v>12</v>
      </c>
      <c r="D14" s="2">
        <v>6500</v>
      </c>
      <c r="E14" s="2">
        <f>PRODUCT(C14,D14)</f>
        <v>78000</v>
      </c>
      <c r="J14" s="1" t="s">
        <v>9</v>
      </c>
      <c r="K14" s="1" t="s">
        <v>13</v>
      </c>
      <c r="L14" s="1">
        <v>1</v>
      </c>
      <c r="M14" s="2">
        <v>1800</v>
      </c>
      <c r="N14" s="2">
        <f t="shared" ref="N14" si="1">PRODUCT(L14,M14)</f>
        <v>1800</v>
      </c>
      <c r="R14" s="1" t="s">
        <v>7</v>
      </c>
      <c r="S14" s="1" t="s">
        <v>8</v>
      </c>
      <c r="T14" s="1">
        <v>5</v>
      </c>
      <c r="U14" s="2">
        <v>1200</v>
      </c>
      <c r="V14" s="2">
        <f>PRODUCT(T14,U14)</f>
        <v>6000</v>
      </c>
    </row>
    <row r="15" spans="1:22">
      <c r="A15" s="1" t="s">
        <v>18</v>
      </c>
      <c r="B15" s="1" t="s">
        <v>27</v>
      </c>
      <c r="C15" s="1">
        <v>6</v>
      </c>
      <c r="D15" s="2">
        <v>6500</v>
      </c>
      <c r="E15" s="2">
        <f>PRODUCT(C15,D15)</f>
        <v>39000</v>
      </c>
      <c r="J15" s="1" t="s">
        <v>14</v>
      </c>
      <c r="K15" s="1" t="s">
        <v>24</v>
      </c>
      <c r="L15" s="1">
        <v>4</v>
      </c>
      <c r="M15" s="2">
        <v>5000</v>
      </c>
      <c r="N15" s="2">
        <f>PRODUCT(L15,M15)</f>
        <v>20000</v>
      </c>
      <c r="R15" s="1" t="s">
        <v>7</v>
      </c>
      <c r="S15" s="1" t="s">
        <v>12</v>
      </c>
      <c r="T15" s="1">
        <v>4</v>
      </c>
      <c r="U15" s="2">
        <v>1800</v>
      </c>
      <c r="V15" s="2">
        <f>PRODUCT(T15,U15)</f>
        <v>7200</v>
      </c>
    </row>
    <row r="16" spans="1:22">
      <c r="J16" s="1" t="s">
        <v>7</v>
      </c>
      <c r="K16" s="1" t="s">
        <v>12</v>
      </c>
      <c r="L16" s="1">
        <v>4</v>
      </c>
      <c r="M16" s="2">
        <v>1800</v>
      </c>
      <c r="N16" s="2">
        <f>PRODUCT(L16,M16)</f>
        <v>7200</v>
      </c>
      <c r="R16" s="1" t="s">
        <v>9</v>
      </c>
      <c r="S16" s="1" t="s">
        <v>13</v>
      </c>
      <c r="T16" s="1">
        <v>1</v>
      </c>
      <c r="U16" s="2">
        <v>1800</v>
      </c>
      <c r="V16" s="2">
        <f>PRODUCT(T16,U16)</f>
        <v>1800</v>
      </c>
    </row>
    <row r="17" spans="10:22">
      <c r="J17" s="1" t="s">
        <v>7</v>
      </c>
      <c r="K17" s="1" t="s">
        <v>8</v>
      </c>
      <c r="L17" s="1">
        <v>5</v>
      </c>
      <c r="M17" s="2">
        <v>1200</v>
      </c>
      <c r="N17" s="2">
        <f>PRODUCT(L17,M17)</f>
        <v>6000</v>
      </c>
      <c r="R17" s="1" t="s">
        <v>16</v>
      </c>
      <c r="S17" s="1" t="s">
        <v>17</v>
      </c>
      <c r="T17" s="1">
        <v>2</v>
      </c>
      <c r="U17" s="2">
        <v>2400</v>
      </c>
      <c r="V17" s="2">
        <f>PRODUCT(T17,U17)</f>
        <v>4800</v>
      </c>
    </row>
    <row r="18" spans="10:22">
      <c r="J18" s="1" t="s">
        <v>9</v>
      </c>
      <c r="K18" s="1" t="s">
        <v>10</v>
      </c>
      <c r="L18" s="1">
        <v>8</v>
      </c>
      <c r="M18" s="2">
        <v>7800</v>
      </c>
      <c r="N18" s="2">
        <f>PRODUCT(L18,M18)</f>
        <v>62400</v>
      </c>
      <c r="R18" s="1" t="s">
        <v>18</v>
      </c>
      <c r="S18" s="1" t="s">
        <v>19</v>
      </c>
      <c r="T18" s="1">
        <v>6</v>
      </c>
      <c r="U18" s="2">
        <v>2500</v>
      </c>
      <c r="V18" s="2">
        <f>PRODUCT(T18,U18)</f>
        <v>15000</v>
      </c>
    </row>
    <row r="19" spans="10:22">
      <c r="J19" s="1" t="s">
        <v>9</v>
      </c>
      <c r="K19" s="1" t="s">
        <v>21</v>
      </c>
      <c r="L19" s="1">
        <v>8</v>
      </c>
      <c r="M19" s="2">
        <v>12000</v>
      </c>
      <c r="N19" s="2">
        <f>PRODUCT(L19,M19)</f>
        <v>96000</v>
      </c>
      <c r="R19" s="1" t="s">
        <v>7</v>
      </c>
      <c r="S19" s="1" t="s">
        <v>11</v>
      </c>
      <c r="T19" s="1">
        <v>3</v>
      </c>
      <c r="U19" s="2">
        <v>2600</v>
      </c>
      <c r="V19" s="2">
        <f>PRODUCT(T19,U19)</f>
        <v>7800</v>
      </c>
    </row>
    <row r="20" spans="10:22">
      <c r="J20" s="1" t="s">
        <v>18</v>
      </c>
      <c r="K20" s="1" t="s">
        <v>19</v>
      </c>
      <c r="L20" s="1">
        <v>6</v>
      </c>
      <c r="M20" s="2">
        <v>2500</v>
      </c>
      <c r="N20" s="2">
        <f>PRODUCT(L20,M20)</f>
        <v>15000</v>
      </c>
      <c r="R20" s="1" t="s">
        <v>16</v>
      </c>
      <c r="S20" s="1" t="s">
        <v>22</v>
      </c>
      <c r="T20" s="1">
        <v>10</v>
      </c>
      <c r="U20" s="2">
        <v>4800</v>
      </c>
      <c r="V20" s="2">
        <f>PRODUCT(T20,U20)</f>
        <v>48000</v>
      </c>
    </row>
    <row r="21" spans="10:22">
      <c r="J21" s="1" t="s">
        <v>18</v>
      </c>
      <c r="K21" s="1" t="s">
        <v>27</v>
      </c>
      <c r="L21" s="1">
        <v>6</v>
      </c>
      <c r="M21" s="2">
        <v>6500</v>
      </c>
      <c r="N21" s="2">
        <f>PRODUCT(L21,M21)</f>
        <v>39000</v>
      </c>
      <c r="R21" s="1" t="s">
        <v>14</v>
      </c>
      <c r="S21" s="1" t="s">
        <v>24</v>
      </c>
      <c r="T21" s="1">
        <v>4</v>
      </c>
      <c r="U21" s="2">
        <v>5000</v>
      </c>
      <c r="V21" s="2">
        <f>PRODUCT(T21,U21)</f>
        <v>20000</v>
      </c>
    </row>
    <row r="22" spans="10:22">
      <c r="R22" s="1" t="s">
        <v>9</v>
      </c>
      <c r="S22" s="1" t="s">
        <v>26</v>
      </c>
      <c r="T22" s="1">
        <v>12</v>
      </c>
      <c r="U22" s="2">
        <v>6500</v>
      </c>
      <c r="V22" s="2">
        <f>PRODUCT(T22,U22)</f>
        <v>78000</v>
      </c>
    </row>
    <row r="23" spans="10:22">
      <c r="R23" s="1" t="s">
        <v>18</v>
      </c>
      <c r="S23" s="1" t="s">
        <v>27</v>
      </c>
      <c r="T23" s="1">
        <v>6</v>
      </c>
      <c r="U23" s="2">
        <v>6500</v>
      </c>
      <c r="V23" s="2">
        <f>PRODUCT(T23,U23)</f>
        <v>39000</v>
      </c>
    </row>
  </sheetData>
  <autoFilter ref="A1:E15" xr:uid="{00000000-0001-0000-0000-000000000000}"/>
  <sortState xmlns:xlrd2="http://schemas.microsoft.com/office/spreadsheetml/2017/richdata2" ref="R2:V4">
    <sortCondition ref="R2:R4"/>
  </sortState>
  <conditionalFormatting sqref="C2:C15">
    <cfRule type="cellIs" dxfId="27" priority="28" operator="lessThanOrEqual">
      <formula>3</formula>
    </cfRule>
  </conditionalFormatting>
  <conditionalFormatting sqref="C2:C15">
    <cfRule type="cellIs" dxfId="26" priority="27" operator="greaterThanOrEqual">
      <formula>7</formula>
    </cfRule>
  </conditionalFormatting>
  <conditionalFormatting sqref="L2:L3">
    <cfRule type="cellIs" dxfId="25" priority="26" operator="lessThanOrEqual">
      <formula>3</formula>
    </cfRule>
  </conditionalFormatting>
  <conditionalFormatting sqref="L2:L3">
    <cfRule type="cellIs" dxfId="24" priority="25" operator="greaterThanOrEqual">
      <formula>7</formula>
    </cfRule>
  </conditionalFormatting>
  <conditionalFormatting sqref="L14">
    <cfRule type="cellIs" dxfId="23" priority="24" operator="lessThanOrEqual">
      <formula>3</formula>
    </cfRule>
  </conditionalFormatting>
  <conditionalFormatting sqref="L14">
    <cfRule type="cellIs" dxfId="22" priority="23" operator="greaterThanOrEqual">
      <formula>7</formula>
    </cfRule>
  </conditionalFormatting>
  <conditionalFormatting sqref="L13">
    <cfRule type="cellIs" dxfId="21" priority="22" operator="lessThanOrEqual">
      <formula>3</formula>
    </cfRule>
  </conditionalFormatting>
  <conditionalFormatting sqref="L13">
    <cfRule type="cellIs" dxfId="20" priority="21" operator="greaterThanOrEqual">
      <formula>7</formula>
    </cfRule>
  </conditionalFormatting>
  <conditionalFormatting sqref="L15">
    <cfRule type="cellIs" dxfId="19" priority="20" operator="lessThanOrEqual">
      <formula>3</formula>
    </cfRule>
  </conditionalFormatting>
  <conditionalFormatting sqref="L15">
    <cfRule type="cellIs" dxfId="18" priority="19" operator="greaterThanOrEqual">
      <formula>7</formula>
    </cfRule>
  </conditionalFormatting>
  <conditionalFormatting sqref="L16">
    <cfRule type="cellIs" dxfId="17" priority="18" operator="lessThanOrEqual">
      <formula>3</formula>
    </cfRule>
  </conditionalFormatting>
  <conditionalFormatting sqref="L16">
    <cfRule type="cellIs" dxfId="16" priority="17" operator="greaterThanOrEqual">
      <formula>7</formula>
    </cfRule>
  </conditionalFormatting>
  <conditionalFormatting sqref="L17">
    <cfRule type="cellIs" dxfId="15" priority="16" operator="lessThanOrEqual">
      <formula>3</formula>
    </cfRule>
  </conditionalFormatting>
  <conditionalFormatting sqref="L17">
    <cfRule type="cellIs" dxfId="14" priority="15" operator="greaterThanOrEqual">
      <formula>7</formula>
    </cfRule>
  </conditionalFormatting>
  <conditionalFormatting sqref="L18">
    <cfRule type="cellIs" dxfId="13" priority="14" operator="lessThanOrEqual">
      <formula>3</formula>
    </cfRule>
  </conditionalFormatting>
  <conditionalFormatting sqref="L18">
    <cfRule type="cellIs" dxfId="12" priority="13" operator="greaterThanOrEqual">
      <formula>7</formula>
    </cfRule>
  </conditionalFormatting>
  <conditionalFormatting sqref="L19">
    <cfRule type="cellIs" dxfId="11" priority="12" operator="lessThanOrEqual">
      <formula>3</formula>
    </cfRule>
  </conditionalFormatting>
  <conditionalFormatting sqref="L19">
    <cfRule type="cellIs" dxfId="10" priority="11" operator="greaterThanOrEqual">
      <formula>7</formula>
    </cfRule>
  </conditionalFormatting>
  <conditionalFormatting sqref="L20">
    <cfRule type="cellIs" dxfId="9" priority="10" operator="lessThanOrEqual">
      <formula>3</formula>
    </cfRule>
  </conditionalFormatting>
  <conditionalFormatting sqref="L20">
    <cfRule type="cellIs" dxfId="8" priority="9" operator="greaterThanOrEqual">
      <formula>7</formula>
    </cfRule>
  </conditionalFormatting>
  <conditionalFormatting sqref="L21">
    <cfRule type="cellIs" dxfId="7" priority="8" operator="lessThanOrEqual">
      <formula>3</formula>
    </cfRule>
  </conditionalFormatting>
  <conditionalFormatting sqref="L21">
    <cfRule type="cellIs" dxfId="6" priority="7" operator="greaterThanOrEqual">
      <formula>7</formula>
    </cfRule>
  </conditionalFormatting>
  <conditionalFormatting sqref="T2:T4">
    <cfRule type="cellIs" dxfId="5" priority="6" operator="lessThanOrEqual">
      <formula>3</formula>
    </cfRule>
  </conditionalFormatting>
  <conditionalFormatting sqref="T2:T4">
    <cfRule type="cellIs" dxfId="4" priority="5" operator="greaterThanOrEqual">
      <formula>7</formula>
    </cfRule>
  </conditionalFormatting>
  <conditionalFormatting sqref="T7:T8">
    <cfRule type="cellIs" dxfId="3" priority="4" operator="lessThanOrEqual">
      <formula>3</formula>
    </cfRule>
  </conditionalFormatting>
  <conditionalFormatting sqref="T7:T8">
    <cfRule type="cellIs" dxfId="2" priority="3" operator="greaterThanOrEqual">
      <formula>7</formula>
    </cfRule>
  </conditionalFormatting>
  <conditionalFormatting sqref="T14:T23">
    <cfRule type="cellIs" dxfId="1" priority="2" operator="lessThanOrEqual">
      <formula>3</formula>
    </cfRule>
  </conditionalFormatting>
  <conditionalFormatting sqref="T14:T23">
    <cfRule type="cellIs" dxfId="0" priority="1" operator="greaterThanOrEqual">
      <formula>7</formula>
    </cfRule>
  </conditionalFormatting>
  <dataValidations count="2">
    <dataValidation type="textLength" allowBlank="1" showInputMessage="1" showErrorMessage="1" error="La longitud del texto no es la permitida" prompt="La longitud del campo debe ser mayor o igual a 4 caracteres y_x000a_menor o igual a 25 caracteres" sqref="B2:B15 K2:K3 K13:K21 S2:S4 S6:S8 S14:S23" xr:uid="{CA9B609A-5E41-49B5-A19C-677F0DAD7BCF}">
      <formula1>4</formula1>
      <formula2>25</formula2>
    </dataValidation>
    <dataValidation type="list" allowBlank="1" showInputMessage="1" showErrorMessage="1" sqref="A2:A15 J2:J3 J13:J21 R2:R4 R6:R8 R14:R23" xr:uid="{5E1506BC-78D7-426A-A459-6EC1A3B3A07F}">
      <formula1>"T;C;R;H;V;"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2026-02-18T03:34:12Z</dcterms:created>
  <dcterms:modified xsi:type="dcterms:W3CDTF">2026-02-18T05:09:11Z</dcterms:modified>
  <cp:category/>
  <cp:contentStatus/>
</cp:coreProperties>
</file>