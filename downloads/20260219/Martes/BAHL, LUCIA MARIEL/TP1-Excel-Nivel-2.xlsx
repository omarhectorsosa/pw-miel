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EA5E2A9-AFD0-4A07-A35C-E7528CF2E30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nscripciones" sheetId="1" r:id="rId1"/>
    <sheet name="Materias" sheetId="2" r:id="rId2"/>
    <sheet name="Departamentos " sheetId="3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6" i="1"/>
  <c r="I7" i="1"/>
  <c r="I8" i="1"/>
  <c r="I5" i="1"/>
  <c r="H6" i="1"/>
  <c r="H7" i="1"/>
  <c r="H8" i="1"/>
  <c r="H9" i="1"/>
  <c r="H10" i="1"/>
  <c r="H11" i="1"/>
  <c r="H12" i="1"/>
  <c r="H13" i="1"/>
  <c r="H14" i="1"/>
  <c r="H15" i="1"/>
  <c r="H16" i="1"/>
  <c r="H5" i="1"/>
  <c r="G6" i="1"/>
  <c r="G7" i="1"/>
  <c r="G8" i="1"/>
  <c r="G9" i="1"/>
  <c r="G10" i="1"/>
  <c r="G11" i="1"/>
  <c r="G12" i="1"/>
  <c r="G13" i="1"/>
  <c r="G14" i="1"/>
  <c r="G15" i="1"/>
  <c r="G16" i="1"/>
  <c r="G5" i="1"/>
  <c r="F6" i="1"/>
  <c r="F7" i="1"/>
  <c r="F8" i="1"/>
  <c r="F9" i="1"/>
  <c r="F10" i="1"/>
  <c r="F11" i="1"/>
  <c r="F12" i="1"/>
  <c r="F13" i="1"/>
  <c r="F14" i="1"/>
  <c r="F15" i="1"/>
  <c r="F16" i="1"/>
  <c r="F5" i="1"/>
  <c r="C16" i="1"/>
  <c r="C15" i="1"/>
  <c r="C14" i="1"/>
  <c r="C13" i="1"/>
  <c r="C12" i="1"/>
  <c r="C11" i="1"/>
  <c r="C10" i="1"/>
  <c r="C9" i="1"/>
  <c r="C6" i="1"/>
  <c r="C7" i="1"/>
  <c r="C8" i="1"/>
  <c r="C5" i="1"/>
  <c r="B14" i="1"/>
  <c r="B13" i="1"/>
  <c r="B12" i="1"/>
  <c r="B10" i="1"/>
  <c r="B9" i="1"/>
  <c r="B6" i="1"/>
  <c r="B7" i="1"/>
  <c r="B8" i="1"/>
  <c r="B11" i="1"/>
  <c r="B15" i="1"/>
  <c r="B16" i="1"/>
  <c r="B5" i="1"/>
</calcChain>
</file>

<file path=xl/sharedStrings.xml><?xml version="1.0" encoding="utf-8"?>
<sst xmlns="http://schemas.openxmlformats.org/spreadsheetml/2006/main" count="48" uniqueCount="35">
  <si>
    <t xml:space="preserve">Examenes finales </t>
  </si>
  <si>
    <t>Codigo de materia</t>
  </si>
  <si>
    <t xml:space="preserve">Materia </t>
  </si>
  <si>
    <t>Departamento</t>
  </si>
  <si>
    <t xml:space="preserve">Fecha de Examen </t>
  </si>
  <si>
    <t xml:space="preserve">Cantidad de inscriptos </t>
  </si>
  <si>
    <t>Condicion</t>
  </si>
  <si>
    <t xml:space="preserve">Aula designada </t>
  </si>
  <si>
    <t xml:space="preserve">Publicacion de las notas </t>
  </si>
  <si>
    <t xml:space="preserve">Importe de inscripciones </t>
  </si>
  <si>
    <t>Codigo de Materia</t>
  </si>
  <si>
    <t>Codigo de Departamento</t>
  </si>
  <si>
    <t>Derecho publico</t>
  </si>
  <si>
    <t>A</t>
  </si>
  <si>
    <t>Derecho penal</t>
  </si>
  <si>
    <t>Derecho Civil</t>
  </si>
  <si>
    <t>Sistemas Operativos</t>
  </si>
  <si>
    <t>B</t>
  </si>
  <si>
    <t xml:space="preserve">Analisis Matematico </t>
  </si>
  <si>
    <t>Computacion I</t>
  </si>
  <si>
    <t>C</t>
  </si>
  <si>
    <t>Estadistica</t>
  </si>
  <si>
    <t>Computacion II</t>
  </si>
  <si>
    <t>Ingles I</t>
  </si>
  <si>
    <t>Anatomia I</t>
  </si>
  <si>
    <t>D</t>
  </si>
  <si>
    <t xml:space="preserve">Biologia I </t>
  </si>
  <si>
    <t xml:space="preserve">Enfermeria </t>
  </si>
  <si>
    <t xml:space="preserve">Codigo de Departamento </t>
  </si>
  <si>
    <t xml:space="preserve">Departamento </t>
  </si>
  <si>
    <t>Arancel</t>
  </si>
  <si>
    <t>Derecho</t>
  </si>
  <si>
    <t>Ingenieria</t>
  </si>
  <si>
    <t>Economicas</t>
  </si>
  <si>
    <t xml:space="preserve">Medicina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</si>
</sst>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partament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artament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workbookViewId="0">
      <selection activeCell="A4" sqref="A4:XFD4"/>
    </sheetView>
  </sheetViews>
  <sheetFormatPr defaultRowHeight="15"/>
  <cols>
    <col min="1" max="1" width="16.85546875" bestFit="1" customWidth="1"/>
    <col min="2" max="2" width="36.5703125" bestFit="1" customWidth="1"/>
    <col min="3" max="3" width="15" customWidth="1"/>
    <col min="4" max="4" width="20" customWidth="1"/>
    <col min="5" max="5" width="20.7109375" bestFit="1" customWidth="1"/>
    <col min="6" max="6" width="12.7109375" customWidth="1"/>
    <col min="7" max="7" width="18" customWidth="1"/>
    <col min="8" max="8" width="22.140625" bestFit="1" customWidth="1"/>
    <col min="9" max="9" width="22.85546875" bestFit="1" customWidth="1"/>
  </cols>
  <sheetData>
    <row r="2" spans="1:9" s="3" customFormat="1">
      <c r="A2" s="4"/>
      <c r="D2" s="5" t="s">
        <v>0</v>
      </c>
    </row>
    <row r="4" spans="1:9" s="5" customForma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 ht="30.75">
      <c r="A5">
        <v>1120</v>
      </c>
      <c r="B5" s="2" t="str">
        <f>VLOOKUP(A5,Materias!B3:D15,2,FALSE)</f>
        <v xml:space="preserve">Analisis Matematico </v>
      </c>
      <c r="C5" s="2" t="str">
        <f>VLOOKUP(VLOOKUP(A5,Materias!B3:D15,3,FALSE),'Departamentos '!B3:D7,2, FALSE)</f>
        <v>Ingenieria</v>
      </c>
      <c r="D5" s="1">
        <v>42566</v>
      </c>
      <c r="E5">
        <v>232</v>
      </c>
      <c r="F5" s="2" t="str">
        <f>IF(E5&lt;150,"BAJA",IF(E5&lt;200,"NORMAL","ALTA"))</f>
        <v>ALTA</v>
      </c>
      <c r="G5" s="2" t="str">
        <f>IF(AND(E5&lt;180,D5&gt;DATE(2016,7,15)),"805","812")</f>
        <v>812</v>
      </c>
      <c r="H5" s="1">
        <f>D5+ROUNDUP(E5/10,0)</f>
        <v>42590</v>
      </c>
      <c r="I5">
        <f>E5*VLOOKUP(VLOOKUP(A5,Materias!B3:D15,3,FALSE),'Departamentos '!B3:D7,3,FALSE)</f>
        <v>41760</v>
      </c>
    </row>
    <row r="6" spans="1:9">
      <c r="A6">
        <v>1200</v>
      </c>
      <c r="B6" s="2" t="str">
        <f>VLOOKUP(A6,Materias!B4:D16,2,FALSE)</f>
        <v>Estadistica</v>
      </c>
      <c r="C6" s="2" t="str">
        <f>VLOOKUP(VLOOKUP(A6,Materias!B4:D16,3,FALSE),'Departamentos '!B4:D8,2, FALSE)</f>
        <v>Economicas</v>
      </c>
      <c r="D6" s="1">
        <v>42571</v>
      </c>
      <c r="E6">
        <v>158</v>
      </c>
      <c r="F6" s="2" t="str">
        <f t="shared" ref="F6:F16" si="0">IF(E6&lt;150,"BAJA",IF(E6&lt;200,"NORMAL","ALTA"))</f>
        <v>NORMAL</v>
      </c>
      <c r="G6" s="2" t="str">
        <f t="shared" ref="G6:G16" si="1">IF(AND(E6&lt;180,D6&gt;DATE(2016,7,15)),"805","812")</f>
        <v>805</v>
      </c>
      <c r="H6" s="1">
        <f t="shared" ref="H6:H16" si="2">D6+ROUNDUP(E6/10,0)</f>
        <v>42587</v>
      </c>
      <c r="I6">
        <f>E6*VLOOKUP(VLOOKUP(A6,Materias!B4:D16,3,FALSE),'Departamentos '!B4:D8,3,FALSE)</f>
        <v>39500</v>
      </c>
    </row>
    <row r="7" spans="1:9">
      <c r="A7">
        <v>1150</v>
      </c>
      <c r="B7" s="2" t="str">
        <f>VLOOKUP(A7,Materias!B5:D17,2,FALSE)</f>
        <v>Computacion I</v>
      </c>
      <c r="C7" s="2" t="str">
        <f>VLOOKUP(VLOOKUP(A7,Materias!B5:D17,3,FALSE),'Departamentos '!B5:D9,2, FALSE)</f>
        <v>Economicas</v>
      </c>
      <c r="D7" s="1">
        <v>42562</v>
      </c>
      <c r="E7">
        <v>175</v>
      </c>
      <c r="F7" s="2" t="str">
        <f t="shared" si="0"/>
        <v>NORMAL</v>
      </c>
      <c r="G7" s="2" t="str">
        <f t="shared" si="1"/>
        <v>812</v>
      </c>
      <c r="H7" s="1">
        <f t="shared" si="2"/>
        <v>42580</v>
      </c>
      <c r="I7">
        <f>E7*VLOOKUP(VLOOKUP(A7,Materias!B5:D17,3,FALSE),'Departamentos '!B5:D9,3,FALSE)</f>
        <v>43750</v>
      </c>
    </row>
    <row r="8" spans="1:9">
      <c r="A8">
        <v>1250</v>
      </c>
      <c r="B8" s="2" t="str">
        <f>VLOOKUP(A8,Materias!B6:D18,2,FALSE)</f>
        <v>Computacion II</v>
      </c>
      <c r="C8" s="2" t="str">
        <f>VLOOKUP(VLOOKUP(A8,Materias!B6:D18,3,FALSE),'Departamentos '!B6:D10,2, FALSE)</f>
        <v>Economicas</v>
      </c>
      <c r="D8" s="1">
        <v>42558</v>
      </c>
      <c r="E8">
        <v>196</v>
      </c>
      <c r="F8" s="2" t="str">
        <f t="shared" si="0"/>
        <v>NORMAL</v>
      </c>
      <c r="G8" s="2" t="str">
        <f t="shared" si="1"/>
        <v>812</v>
      </c>
      <c r="H8" s="1">
        <f t="shared" si="2"/>
        <v>42578</v>
      </c>
      <c r="I8">
        <f>E8*VLOOKUP(VLOOKUP(A8,Materias!B6:D18,3,FALSE),'Departamentos '!B6:D10,3,FALSE)</f>
        <v>49000</v>
      </c>
    </row>
    <row r="9" spans="1:9">
      <c r="A9">
        <v>1010</v>
      </c>
      <c r="B9" s="2" t="str">
        <f>VLOOKUP(A9,Materias!B3:D15,2,FALSE)</f>
        <v>Derecho publico</v>
      </c>
      <c r="C9" s="2" t="str">
        <f>VLOOKUP(VLOOKUP(A9,Materias!B3:D15,3,FALSE),'Departamentos '!B3:D7,2, FALSE)</f>
        <v>Derecho</v>
      </c>
      <c r="D9" s="1">
        <v>42569</v>
      </c>
      <c r="E9">
        <v>202</v>
      </c>
      <c r="F9" s="2" t="str">
        <f t="shared" si="0"/>
        <v>ALTA</v>
      </c>
      <c r="G9" s="2" t="str">
        <f t="shared" si="1"/>
        <v>812</v>
      </c>
      <c r="H9" s="1">
        <f t="shared" si="2"/>
        <v>42590</v>
      </c>
      <c r="I9">
        <f>E9*VLOOKUP(VLOOKUP(A5,Materias!B3:D15,3,FALSE),'Departamentos '!B3:D7,3,FALSE)</f>
        <v>36360</v>
      </c>
    </row>
    <row r="10" spans="1:9">
      <c r="A10">
        <v>1080</v>
      </c>
      <c r="B10" s="2" t="str">
        <f>VLOOKUP(A10,Materias!B3:D15,2,FALSE)</f>
        <v>Sistemas Operativos</v>
      </c>
      <c r="C10" s="2" t="str">
        <f>VLOOKUP(VLOOKUP(A10,Materias!B3:D15,3,FALSE),'Departamentos '!B3:D7,2, FALSE)</f>
        <v>Ingenieria</v>
      </c>
      <c r="D10" s="1">
        <v>42574</v>
      </c>
      <c r="E10">
        <v>141</v>
      </c>
      <c r="F10" s="2" t="str">
        <f t="shared" si="0"/>
        <v>BAJA</v>
      </c>
      <c r="G10" s="2" t="str">
        <f t="shared" si="1"/>
        <v>805</v>
      </c>
      <c r="H10" s="1">
        <f t="shared" si="2"/>
        <v>42589</v>
      </c>
      <c r="I10">
        <f>E10*VLOOKUP(VLOOKUP(A5,Materias!B3:D15,3,FALSE),'Departamentos '!B3:D7,3,FALSE)</f>
        <v>25380</v>
      </c>
    </row>
    <row r="11" spans="1:9">
      <c r="A11">
        <v>1300</v>
      </c>
      <c r="B11" s="2" t="str">
        <f>VLOOKUP(A11,Materias!B9:D21,2,FALSE)</f>
        <v>Ingles I</v>
      </c>
      <c r="C11" s="2" t="str">
        <f>VLOOKUP(VLOOKUP(A11,Materias!B3:D15,3,FALSE),'Departamentos '!B3:D7,2, FALSE)</f>
        <v>Economicas</v>
      </c>
      <c r="D11" s="1">
        <v>42578</v>
      </c>
      <c r="E11">
        <v>215</v>
      </c>
      <c r="F11" s="2" t="str">
        <f t="shared" si="0"/>
        <v>ALTA</v>
      </c>
      <c r="G11" s="2" t="str">
        <f t="shared" si="1"/>
        <v>812</v>
      </c>
      <c r="H11" s="1">
        <f t="shared" si="2"/>
        <v>42600</v>
      </c>
      <c r="I11">
        <f>E11*VLOOKUP(VLOOKUP(A5,Materias!B3:D15,3,FALSE),'Departamentos '!B3:D7,3,FALSE)</f>
        <v>38700</v>
      </c>
    </row>
    <row r="12" spans="1:9">
      <c r="A12">
        <v>1420</v>
      </c>
      <c r="B12" s="2" t="str">
        <f>VLOOKUP(A12,Materias!B3:D15,2,FALSE)</f>
        <v>Derecho Civil</v>
      </c>
      <c r="C12" s="2" t="str">
        <f>VLOOKUP(VLOOKUP(A12,Materias!B3:D15,3,FALSE),'Departamentos '!B3:D7,2, FALSE)</f>
        <v>Derecho</v>
      </c>
      <c r="D12" s="1">
        <v>42564</v>
      </c>
      <c r="E12">
        <v>136</v>
      </c>
      <c r="F12" s="2" t="str">
        <f t="shared" si="0"/>
        <v>BAJA</v>
      </c>
      <c r="G12" s="2" t="str">
        <f t="shared" si="1"/>
        <v>812</v>
      </c>
      <c r="H12" s="1">
        <f t="shared" si="2"/>
        <v>42578</v>
      </c>
      <c r="I12">
        <f>E12*VLOOKUP(VLOOKUP(A5,Materias!B3:D15,3,FALSE),'Departamentos '!B3:D7,3,FALSE)</f>
        <v>24480</v>
      </c>
    </row>
    <row r="13" spans="1:9">
      <c r="A13">
        <v>1280</v>
      </c>
      <c r="B13" s="2" t="str">
        <f>VLOOKUP(A13,Materias!B3:D15,2,FALSE)</f>
        <v>Derecho penal</v>
      </c>
      <c r="C13" s="2" t="str">
        <f>VLOOKUP(VLOOKUP(A13,Materias!B3:D15,3,FALSE),'Departamentos '!B3:D7,2, FALSE)</f>
        <v>Derecho</v>
      </c>
      <c r="D13" s="1">
        <v>42572</v>
      </c>
      <c r="E13">
        <v>168</v>
      </c>
      <c r="F13" s="2" t="str">
        <f t="shared" si="0"/>
        <v>NORMAL</v>
      </c>
      <c r="G13" s="2" t="str">
        <f t="shared" si="1"/>
        <v>805</v>
      </c>
      <c r="H13" s="1">
        <f t="shared" si="2"/>
        <v>42589</v>
      </c>
      <c r="I13">
        <f>E13*VLOOKUP(VLOOKUP(A5,Materias!B3:D15,3,FALSE),'Departamentos '!B3:D7,3,FALSE)</f>
        <v>30240</v>
      </c>
    </row>
    <row r="14" spans="1:9">
      <c r="A14">
        <v>1825</v>
      </c>
      <c r="B14" s="2" t="str">
        <f>VLOOKUP(A14,Materias!B12:D24,2,FALSE)</f>
        <v>Anatomia I</v>
      </c>
      <c r="C14" s="2" t="str">
        <f>VLOOKUP(VLOOKUP(A14,Materias!B3:D15,3,FALSE),'Departamentos '!B3:D7,2, FALSE)</f>
        <v xml:space="preserve">Medicina </v>
      </c>
      <c r="D14" s="1">
        <v>42573</v>
      </c>
      <c r="E14">
        <v>169</v>
      </c>
      <c r="F14" s="2" t="str">
        <f t="shared" si="0"/>
        <v>NORMAL</v>
      </c>
      <c r="G14" s="2" t="str">
        <f t="shared" si="1"/>
        <v>805</v>
      </c>
      <c r="H14" s="1">
        <f t="shared" si="2"/>
        <v>42590</v>
      </c>
      <c r="I14">
        <f>E13*VLOOKUP(VLOOKUP(A5,Materias!B3:D15,3,FALSE),'Departamentos '!B3:D7,3,FALSE)</f>
        <v>30240</v>
      </c>
    </row>
    <row r="15" spans="1:9">
      <c r="A15">
        <v>1850</v>
      </c>
      <c r="B15" s="2" t="str">
        <f>VLOOKUP(A15,Materias!B13:D25,2,FALSE)</f>
        <v xml:space="preserve">Biologia I </v>
      </c>
      <c r="C15" s="2" t="str">
        <f>VLOOKUP(VLOOKUP(A15,Materias!B3:D15,3,FALSE),'Departamentos '!B3:D7,2, FALSE)</f>
        <v xml:space="preserve">Medicina </v>
      </c>
      <c r="D15" s="1">
        <v>42574</v>
      </c>
      <c r="E15">
        <v>170</v>
      </c>
      <c r="F15" s="2" t="str">
        <f t="shared" si="0"/>
        <v>NORMAL</v>
      </c>
      <c r="G15" s="2" t="str">
        <f t="shared" si="1"/>
        <v>805</v>
      </c>
      <c r="H15" s="1">
        <f t="shared" si="2"/>
        <v>42591</v>
      </c>
      <c r="I15">
        <f>E13*VLOOKUP(VLOOKUP(A5,Materias!B3:D15,3,FALSE),'Departamentos '!B3:D7,3,FALSE)</f>
        <v>30240</v>
      </c>
    </row>
    <row r="16" spans="1:9">
      <c r="A16">
        <v>1860</v>
      </c>
      <c r="B16" s="2" t="str">
        <f>VLOOKUP(A16,Materias!B14:D26,2,FALSE)</f>
        <v xml:space="preserve">Enfermeria </v>
      </c>
      <c r="C16" s="2" t="str">
        <f>VLOOKUP(VLOOKUP(A16,Materias!B3:D15,3,FALSE),'Departamentos '!B3:D7,2, FALSE)</f>
        <v xml:space="preserve">Medicina </v>
      </c>
      <c r="D16" s="1">
        <v>42575</v>
      </c>
      <c r="E16">
        <v>171</v>
      </c>
      <c r="F16" s="2" t="str">
        <f t="shared" si="0"/>
        <v>NORMAL</v>
      </c>
      <c r="G16" s="2" t="str">
        <f t="shared" si="1"/>
        <v>805</v>
      </c>
      <c r="H16" s="1">
        <f t="shared" si="2"/>
        <v>42593</v>
      </c>
      <c r="I16">
        <f>E13*VLOOKUP(VLOOKUP(A5,Materias!B3:D15,3,FALSE),'Departamentos '!B3:D7,3,FALSE)</f>
        <v>30240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DD18-AE3D-4E69-B26D-A598B2B2AC06}">
  <dimension ref="B3:D15"/>
  <sheetViews>
    <sheetView workbookViewId="0">
      <selection activeCell="E5" sqref="E5"/>
    </sheetView>
  </sheetViews>
  <sheetFormatPr defaultRowHeight="15"/>
  <cols>
    <col min="1" max="1" width="17" bestFit="1" customWidth="1"/>
    <col min="2" max="2" width="19" bestFit="1" customWidth="1"/>
    <col min="3" max="3" width="22.85546875" bestFit="1" customWidth="1"/>
    <col min="4" max="4" width="22.28515625" customWidth="1"/>
    <col min="5" max="5" width="36.5703125" bestFit="1" customWidth="1"/>
  </cols>
  <sheetData>
    <row r="3" spans="2:4">
      <c r="B3" s="4" t="s">
        <v>10</v>
      </c>
      <c r="C3" s="4" t="s">
        <v>2</v>
      </c>
      <c r="D3" s="4" t="s">
        <v>11</v>
      </c>
    </row>
    <row r="4" spans="2:4">
      <c r="B4">
        <v>1010</v>
      </c>
      <c r="C4" t="s">
        <v>12</v>
      </c>
      <c r="D4" t="s">
        <v>13</v>
      </c>
    </row>
    <row r="5" spans="2:4">
      <c r="B5">
        <v>1280</v>
      </c>
      <c r="C5" t="s">
        <v>14</v>
      </c>
      <c r="D5" t="s">
        <v>13</v>
      </c>
    </row>
    <row r="6" spans="2:4">
      <c r="B6">
        <v>1420</v>
      </c>
      <c r="C6" t="s">
        <v>15</v>
      </c>
      <c r="D6" t="s">
        <v>13</v>
      </c>
    </row>
    <row r="7" spans="2:4">
      <c r="B7">
        <v>1080</v>
      </c>
      <c r="C7" t="s">
        <v>16</v>
      </c>
      <c r="D7" t="s">
        <v>17</v>
      </c>
    </row>
    <row r="8" spans="2:4">
      <c r="B8">
        <v>1120</v>
      </c>
      <c r="C8" t="s">
        <v>18</v>
      </c>
      <c r="D8" t="s">
        <v>17</v>
      </c>
    </row>
    <row r="9" spans="2:4">
      <c r="B9">
        <v>1150</v>
      </c>
      <c r="C9" t="s">
        <v>19</v>
      </c>
      <c r="D9" t="s">
        <v>20</v>
      </c>
    </row>
    <row r="10" spans="2:4">
      <c r="B10">
        <v>1200</v>
      </c>
      <c r="C10" t="s">
        <v>21</v>
      </c>
      <c r="D10" t="s">
        <v>20</v>
      </c>
    </row>
    <row r="11" spans="2:4">
      <c r="B11">
        <v>1250</v>
      </c>
      <c r="C11" t="s">
        <v>22</v>
      </c>
      <c r="D11" t="s">
        <v>20</v>
      </c>
    </row>
    <row r="12" spans="2:4">
      <c r="B12">
        <v>1300</v>
      </c>
      <c r="C12" t="s">
        <v>23</v>
      </c>
      <c r="D12" t="s">
        <v>20</v>
      </c>
    </row>
    <row r="13" spans="2:4">
      <c r="B13">
        <v>1825</v>
      </c>
      <c r="C13" t="s">
        <v>24</v>
      </c>
      <c r="D13" t="s">
        <v>25</v>
      </c>
    </row>
    <row r="14" spans="2:4">
      <c r="B14">
        <v>1850</v>
      </c>
      <c r="C14" t="s">
        <v>26</v>
      </c>
      <c r="D14" t="s">
        <v>25</v>
      </c>
    </row>
    <row r="15" spans="2:4">
      <c r="B15">
        <v>1860</v>
      </c>
      <c r="C15" t="s">
        <v>27</v>
      </c>
      <c r="D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EE87-2A77-4169-A946-4F009873824A}">
  <dimension ref="B3:D7"/>
  <sheetViews>
    <sheetView tabSelected="1" workbookViewId="0">
      <selection activeCell="B7" sqref="B7"/>
    </sheetView>
  </sheetViews>
  <sheetFormatPr defaultRowHeight="15"/>
  <cols>
    <col min="1" max="1" width="19.85546875" customWidth="1"/>
    <col min="2" max="2" width="22.85546875" customWidth="1"/>
    <col min="3" max="3" width="15.42578125" customWidth="1"/>
  </cols>
  <sheetData>
    <row r="3" spans="2:4">
      <c r="B3" s="6" t="s">
        <v>28</v>
      </c>
      <c r="C3" s="6" t="s">
        <v>29</v>
      </c>
      <c r="D3" s="6" t="s">
        <v>30</v>
      </c>
    </row>
    <row r="4" spans="2:4">
      <c r="B4" t="s">
        <v>13</v>
      </c>
      <c r="C4" t="s">
        <v>31</v>
      </c>
      <c r="D4">
        <v>220</v>
      </c>
    </row>
    <row r="5" spans="2:4">
      <c r="B5" t="s">
        <v>17</v>
      </c>
      <c r="C5" t="s">
        <v>32</v>
      </c>
      <c r="D5">
        <v>180</v>
      </c>
    </row>
    <row r="6" spans="2:4">
      <c r="B6" t="s">
        <v>20</v>
      </c>
      <c r="C6" t="s">
        <v>33</v>
      </c>
      <c r="D6">
        <v>250</v>
      </c>
    </row>
    <row r="7" spans="2:4">
      <c r="B7" t="s">
        <v>25</v>
      </c>
      <c r="C7" t="s">
        <v>34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2026-02-18T22:57:32Z</dcterms:created>
  <dcterms:modified xsi:type="dcterms:W3CDTF">2026-02-19T02:20:36Z</dcterms:modified>
  <cp:category/>
  <cp:contentStatus/>
</cp:coreProperties>
</file>