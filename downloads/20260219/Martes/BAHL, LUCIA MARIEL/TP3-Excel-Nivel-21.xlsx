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59B70634-DC4A-4FE8-A49A-F2187E036E55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<sst xmlns="http://schemas.openxmlformats.org/spreadsheetml/2006/main" count="129" uniqueCount="30">
  <si>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</si>
  <si>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</si>
  <si>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</si>
  <si>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</t>
  </si>
  <si>
    <t>TOTAL</t>
  </si>
  <si>
    <t>T</t>
  </si>
  <si>
    <t>Televisor 32"</t>
  </si>
  <si>
    <t>C</t>
  </si>
  <si>
    <t>Cocina 4 hornallas</t>
  </si>
  <si>
    <t>Televisor 42"LED</t>
  </si>
  <si>
    <t>H</t>
  </si>
  <si>
    <t xml:space="preserve">Heladera 12 pies,con freezer </t>
  </si>
  <si>
    <t>Freezer carga superior</t>
  </si>
  <si>
    <t>R</t>
  </si>
  <si>
    <t>Radio onda corta</t>
  </si>
  <si>
    <t>Radio con CD y Mp3</t>
  </si>
  <si>
    <t>Radio AM/FM 3 V bandas</t>
  </si>
  <si>
    <t xml:space="preserve">Cocina industrial 6 hornallas </t>
  </si>
  <si>
    <t>Televisor 42"LED 3D</t>
  </si>
  <si>
    <t>V</t>
  </si>
  <si>
    <t xml:space="preserve">Ventilador 25"giratorio </t>
  </si>
  <si>
    <t>Aire acondicionado F/C</t>
  </si>
  <si>
    <t>Anafe 2 hornallas</t>
  </si>
  <si>
    <t>Tv portatil (12V)</t>
  </si>
  <si>
    <t>&gt;=5</t>
  </si>
  <si>
    <t>&gt; 4</t>
  </si>
  <si>
    <t>&lt; 9</t>
  </si>
  <si>
    <t>Importe total</t>
  </si>
  <si>
    <t xml:space="preserve">contar productos 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</si>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</sst>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[$$-2C0A]\ #,##0.00"/>
  </numFmts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2"/>
      <color rgb="FF001D35"/>
      <name val="Google Sans"/>
      <charset val="1"/>
    </font>
  </fonts>
  <fills count="5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 applyAlignment="1"/>
    <xf numFmtId="0" fontId="1" fillId="0" borderId="1" xfId="0" applyFont="1" applyFill="1" applyBorder="1" applyAlignment="1"/>
    <xf numFmtId="0" fontId="1" fillId="3" borderId="1" xfId="0" applyFont="1" applyFill="1" applyBorder="1" applyAlignment="1"/>
    <xf numFmtId="0" fontId="1" fillId="0" borderId="1" xfId="0" applyFont="1" applyFill="1" applyBorder="1" applyAlignment="1">
      <alignment wrapText="1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5" fontId="1" fillId="0" borderId="1" xfId="0" applyNumberFormat="1" applyFont="1" applyFill="1" applyBorder="1" applyAlignment="1"/>
    <xf numFmtId="165" fontId="1" fillId="0" borderId="1" xfId="0" applyNumberFormat="1" applyFont="1" applyFill="1" applyBorder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164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workbookViewId="0">
      <selection sqref="A1:E15"/>
    </sheetView>
  </sheetViews>
  <sheetFormatPr defaultRowHeight="15"/>
  <cols>
    <col min="1" max="1" width="14.140625" customWidth="1"/>
    <col min="2" max="2" width="26.28515625" customWidth="1"/>
    <col min="3" max="3" width="16.140625" customWidth="1"/>
    <col min="4" max="4" width="15.28515625" customWidth="1"/>
    <col min="5" max="5" width="15.7109375" customWidth="1"/>
    <col min="6" max="6" width="14" customWidth="1"/>
  </cols>
  <sheetData>
    <row r="1" spans="1:6" s="6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6">
      <c r="A2" s="2" t="s">
        <v>5</v>
      </c>
      <c r="B2" s="2" t="s">
        <v>6</v>
      </c>
      <c r="C2" s="3">
        <v>12</v>
      </c>
      <c r="D2" s="7">
        <v>6500</v>
      </c>
      <c r="E2" s="8">
        <f>PRODUCT(C2,D2)</f>
        <v>78000</v>
      </c>
    </row>
    <row r="3" spans="1:6" ht="17.25" customHeight="1">
      <c r="A3" s="2" t="s">
        <v>7</v>
      </c>
      <c r="B3" s="4" t="s">
        <v>8</v>
      </c>
      <c r="C3" s="3">
        <v>10</v>
      </c>
      <c r="D3" s="7">
        <v>4800</v>
      </c>
      <c r="E3" s="8">
        <f t="shared" ref="E3:E15" si="0">PRODUCT(C3,D3)</f>
        <v>48000</v>
      </c>
    </row>
    <row r="4" spans="1:6">
      <c r="A4" s="2" t="s">
        <v>5</v>
      </c>
      <c r="B4" s="2" t="s">
        <v>9</v>
      </c>
      <c r="C4" s="3">
        <v>8</v>
      </c>
      <c r="D4" s="7">
        <v>7800</v>
      </c>
      <c r="E4" s="8">
        <f t="shared" si="0"/>
        <v>62400</v>
      </c>
    </row>
    <row r="5" spans="1:6" ht="18.75" customHeight="1">
      <c r="A5" s="2" t="s">
        <v>10</v>
      </c>
      <c r="B5" s="4" t="s">
        <v>11</v>
      </c>
      <c r="C5" s="3">
        <v>7</v>
      </c>
      <c r="D5" s="7">
        <v>8500</v>
      </c>
      <c r="E5" s="8">
        <f t="shared" si="0"/>
        <v>59500</v>
      </c>
    </row>
    <row r="6" spans="1:6">
      <c r="A6" s="2" t="s">
        <v>10</v>
      </c>
      <c r="B6" s="2" t="s">
        <v>12</v>
      </c>
      <c r="C6" s="2">
        <v>4</v>
      </c>
      <c r="D6" s="7">
        <v>5000</v>
      </c>
      <c r="E6" s="8">
        <f t="shared" si="0"/>
        <v>20000</v>
      </c>
      <c r="F6" s="1"/>
    </row>
    <row r="7" spans="1:6">
      <c r="A7" s="2" t="s">
        <v>13</v>
      </c>
      <c r="B7" s="2" t="s">
        <v>14</v>
      </c>
      <c r="C7" s="2">
        <v>4</v>
      </c>
      <c r="D7" s="7">
        <v>1800</v>
      </c>
      <c r="E7" s="8">
        <f t="shared" si="0"/>
        <v>7200</v>
      </c>
    </row>
    <row r="8" spans="1:6">
      <c r="A8" s="2" t="s">
        <v>13</v>
      </c>
      <c r="B8" s="2" t="s">
        <v>15</v>
      </c>
      <c r="C8" s="2">
        <v>3</v>
      </c>
      <c r="D8" s="7">
        <v>2600</v>
      </c>
      <c r="E8" s="8">
        <f t="shared" si="0"/>
        <v>7800</v>
      </c>
    </row>
    <row r="9" spans="1:6">
      <c r="A9" s="2" t="s">
        <v>13</v>
      </c>
      <c r="B9" s="2" t="s">
        <v>16</v>
      </c>
      <c r="C9" s="2">
        <v>5</v>
      </c>
      <c r="D9" s="7">
        <v>1200</v>
      </c>
      <c r="E9" s="8">
        <f t="shared" si="0"/>
        <v>6000</v>
      </c>
    </row>
    <row r="10" spans="1:6">
      <c r="A10" s="2" t="s">
        <v>7</v>
      </c>
      <c r="B10" s="2" t="s">
        <v>17</v>
      </c>
      <c r="C10" s="2">
        <v>2</v>
      </c>
      <c r="D10" s="7">
        <v>9400</v>
      </c>
      <c r="E10" s="8">
        <f t="shared" si="0"/>
        <v>18800</v>
      </c>
    </row>
    <row r="11" spans="1:6">
      <c r="A11" s="2" t="s">
        <v>5</v>
      </c>
      <c r="B11" s="2" t="s">
        <v>18</v>
      </c>
      <c r="C11" s="3">
        <v>8</v>
      </c>
      <c r="D11" s="7">
        <v>12000</v>
      </c>
      <c r="E11" s="8">
        <f t="shared" si="0"/>
        <v>96000</v>
      </c>
    </row>
    <row r="12" spans="1:6">
      <c r="A12" s="2" t="s">
        <v>19</v>
      </c>
      <c r="B12" s="2" t="s">
        <v>20</v>
      </c>
      <c r="C12" s="2">
        <v>6</v>
      </c>
      <c r="D12" s="7">
        <v>2500</v>
      </c>
      <c r="E12" s="8">
        <f t="shared" si="0"/>
        <v>15000</v>
      </c>
    </row>
    <row r="13" spans="1:6">
      <c r="A13" s="2" t="s">
        <v>19</v>
      </c>
      <c r="B13" s="2" t="s">
        <v>21</v>
      </c>
      <c r="C13" s="2">
        <v>6</v>
      </c>
      <c r="D13" s="7">
        <v>6500</v>
      </c>
      <c r="E13" s="8">
        <f t="shared" si="0"/>
        <v>39000</v>
      </c>
    </row>
    <row r="14" spans="1:6">
      <c r="A14" s="2" t="s">
        <v>7</v>
      </c>
      <c r="B14" s="2" t="s">
        <v>22</v>
      </c>
      <c r="C14" s="2">
        <v>2</v>
      </c>
      <c r="D14" s="7">
        <v>2400</v>
      </c>
      <c r="E14" s="8">
        <f t="shared" si="0"/>
        <v>4800</v>
      </c>
    </row>
    <row r="15" spans="1:6">
      <c r="A15" s="2" t="s">
        <v>5</v>
      </c>
      <c r="B15" s="2" t="s">
        <v>23</v>
      </c>
      <c r="C15" s="2">
        <v>1</v>
      </c>
      <c r="D15" s="7">
        <v>1800</v>
      </c>
      <c r="E15" s="8">
        <f t="shared" si="0"/>
        <v>1800</v>
      </c>
    </row>
    <row r="17" spans="1:6">
      <c r="A17">
        <f>DMAX(A1:E15,D1,A25:E26)</f>
        <v>8500</v>
      </c>
    </row>
    <row r="18" spans="1:6">
      <c r="A18">
        <f>DSUM(A1:E15,E1,A28:E29)</f>
        <v>6000</v>
      </c>
    </row>
    <row r="19" spans="1:6" ht="17.25" customHeight="1">
      <c r="A19" s="10">
        <f>DGET(A1:E15,D1,A32:E33)</f>
        <v>1800</v>
      </c>
    </row>
    <row r="20" spans="1:6">
      <c r="A20">
        <f>DCOUNTA(A1:E15,B1,A35:F36)</f>
        <v>6</v>
      </c>
    </row>
    <row r="25" spans="1:6">
      <c r="A25" s="5" t="s">
        <v>0</v>
      </c>
      <c r="B25" s="5" t="s">
        <v>1</v>
      </c>
      <c r="C25" s="5" t="s">
        <v>2</v>
      </c>
      <c r="D25" s="5" t="s">
        <v>3</v>
      </c>
      <c r="E25" s="5" t="s">
        <v>4</v>
      </c>
      <c r="F25" s="11"/>
    </row>
    <row r="26" spans="1:6" ht="15.75">
      <c r="A26" t="s">
        <v>10</v>
      </c>
      <c r="C26" s="9"/>
      <c r="F26" s="9"/>
    </row>
    <row r="28" spans="1:6">
      <c r="A28" s="5" t="s">
        <v>0</v>
      </c>
      <c r="B28" s="5" t="s">
        <v>1</v>
      </c>
      <c r="C28" s="5" t="s">
        <v>2</v>
      </c>
      <c r="D28" s="5" t="s">
        <v>3</v>
      </c>
      <c r="E28" s="5" t="s">
        <v>4</v>
      </c>
    </row>
    <row r="29" spans="1:6" ht="15.75">
      <c r="A29" t="s">
        <v>13</v>
      </c>
      <c r="C29" s="9" t="s">
        <v>24</v>
      </c>
    </row>
    <row r="31" spans="1:6" ht="15.75">
      <c r="A31" s="9"/>
    </row>
    <row r="32" spans="1:6">
      <c r="A32" s="5" t="s">
        <v>0</v>
      </c>
      <c r="B32" s="5" t="s">
        <v>1</v>
      </c>
      <c r="C32" s="5" t="s">
        <v>2</v>
      </c>
      <c r="D32" s="5" t="s">
        <v>3</v>
      </c>
      <c r="E32" s="5" t="s">
        <v>4</v>
      </c>
    </row>
    <row r="33" spans="1:6">
      <c r="B33" s="2" t="s">
        <v>14</v>
      </c>
    </row>
    <row r="35" spans="1:6">
      <c r="A35" s="5" t="s">
        <v>0</v>
      </c>
      <c r="B35" s="5" t="s">
        <v>1</v>
      </c>
      <c r="C35" s="5" t="s">
        <v>2</v>
      </c>
      <c r="D35" s="5" t="s">
        <v>3</v>
      </c>
      <c r="E35" s="5" t="s">
        <v>4</v>
      </c>
      <c r="F35" s="5" t="s">
        <v>2</v>
      </c>
    </row>
    <row r="36" spans="1:6" ht="15.75">
      <c r="C36" s="9" t="s">
        <v>25</v>
      </c>
      <c r="F36" s="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3305-BE95-4F10-A296-D7DED7F200C1}">
  <dimension ref="A1:E15"/>
  <sheetViews>
    <sheetView workbookViewId="0">
      <selection activeCell="B4" sqref="B4"/>
    </sheetView>
  </sheetViews>
  <sheetFormatPr defaultRowHeight="15"/>
  <cols>
    <col min="1" max="1" width="16.140625" customWidth="1"/>
    <col min="2" max="2" width="31" customWidth="1"/>
    <col min="4" max="4" width="15.42578125" customWidth="1"/>
    <col min="5" max="5" width="14.140625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2" t="s">
        <v>7</v>
      </c>
      <c r="B2" s="2" t="s">
        <v>22</v>
      </c>
      <c r="C2" s="2">
        <v>2</v>
      </c>
      <c r="D2" s="7">
        <v>2400</v>
      </c>
      <c r="E2" s="8">
        <f>PRODUCT(C2,D2)</f>
        <v>4800</v>
      </c>
    </row>
    <row r="3" spans="1:5" ht="29.25">
      <c r="A3" s="2" t="s">
        <v>7</v>
      </c>
      <c r="B3" s="4" t="s">
        <v>8</v>
      </c>
      <c r="C3" s="3">
        <v>10</v>
      </c>
      <c r="D3" s="7">
        <v>4800</v>
      </c>
      <c r="E3" s="8">
        <f>PRODUCT(C3,D3)</f>
        <v>48000</v>
      </c>
    </row>
    <row r="4" spans="1:5">
      <c r="A4" s="2" t="s">
        <v>7</v>
      </c>
      <c r="B4" s="2" t="s">
        <v>17</v>
      </c>
      <c r="C4" s="2">
        <v>2</v>
      </c>
      <c r="D4" s="7">
        <v>9400</v>
      </c>
      <c r="E4" s="8">
        <f>PRODUCT(C4,D4)</f>
        <v>18800</v>
      </c>
    </row>
    <row r="5" spans="1:5" ht="21.75" customHeight="1">
      <c r="A5" s="2" t="s">
        <v>10</v>
      </c>
      <c r="B5" s="2" t="s">
        <v>12</v>
      </c>
      <c r="C5" s="2">
        <v>4</v>
      </c>
      <c r="D5" s="7">
        <v>5000</v>
      </c>
      <c r="E5" s="8">
        <f>PRODUCT(C5,D5)</f>
        <v>20000</v>
      </c>
    </row>
    <row r="6" spans="1:5">
      <c r="A6" s="2" t="s">
        <v>10</v>
      </c>
      <c r="B6" s="4" t="s">
        <v>11</v>
      </c>
      <c r="C6" s="3">
        <v>7</v>
      </c>
      <c r="D6" s="7">
        <v>8500</v>
      </c>
      <c r="E6" s="8">
        <f>PRODUCT(C6,D6)</f>
        <v>59500</v>
      </c>
    </row>
    <row r="7" spans="1:5">
      <c r="A7" s="2" t="s">
        <v>13</v>
      </c>
      <c r="B7" s="2" t="s">
        <v>16</v>
      </c>
      <c r="C7" s="2">
        <v>5</v>
      </c>
      <c r="D7" s="7">
        <v>1200</v>
      </c>
      <c r="E7" s="8">
        <f>PRODUCT(C7,D7)</f>
        <v>6000</v>
      </c>
    </row>
    <row r="8" spans="1:5">
      <c r="A8" s="2" t="s">
        <v>13</v>
      </c>
      <c r="B8" s="2" t="s">
        <v>15</v>
      </c>
      <c r="C8" s="2">
        <v>3</v>
      </c>
      <c r="D8" s="7">
        <v>2600</v>
      </c>
      <c r="E8" s="8">
        <f>PRODUCT(C8,D8)</f>
        <v>7800</v>
      </c>
    </row>
    <row r="9" spans="1:5">
      <c r="A9" s="2" t="s">
        <v>13</v>
      </c>
      <c r="B9" s="2" t="s">
        <v>14</v>
      </c>
      <c r="C9" s="2">
        <v>4</v>
      </c>
      <c r="D9" s="7">
        <v>1800</v>
      </c>
      <c r="E9" s="8">
        <f>PRODUCT(C9,D9)</f>
        <v>7200</v>
      </c>
    </row>
    <row r="10" spans="1:5">
      <c r="A10" s="2" t="s">
        <v>5</v>
      </c>
      <c r="B10" s="2" t="s">
        <v>6</v>
      </c>
      <c r="C10" s="3">
        <v>12</v>
      </c>
      <c r="D10" s="7">
        <v>6500</v>
      </c>
      <c r="E10" s="8">
        <f>PRODUCT(C10,D10)</f>
        <v>78000</v>
      </c>
    </row>
    <row r="11" spans="1:5">
      <c r="A11" s="2" t="s">
        <v>5</v>
      </c>
      <c r="B11" s="2" t="s">
        <v>9</v>
      </c>
      <c r="C11" s="3">
        <v>8</v>
      </c>
      <c r="D11" s="7">
        <v>7800</v>
      </c>
      <c r="E11" s="8">
        <f>PRODUCT(C11,D11)</f>
        <v>62400</v>
      </c>
    </row>
    <row r="12" spans="1:5">
      <c r="A12" s="2" t="s">
        <v>5</v>
      </c>
      <c r="B12" s="2" t="s">
        <v>18</v>
      </c>
      <c r="C12" s="3">
        <v>8</v>
      </c>
      <c r="D12" s="7">
        <v>12000</v>
      </c>
      <c r="E12" s="8">
        <f>PRODUCT(C12,D12)</f>
        <v>96000</v>
      </c>
    </row>
    <row r="13" spans="1:5">
      <c r="A13" s="2" t="s">
        <v>5</v>
      </c>
      <c r="B13" s="2" t="s">
        <v>23</v>
      </c>
      <c r="C13" s="2">
        <v>1</v>
      </c>
      <c r="D13" s="7">
        <v>1800</v>
      </c>
      <c r="E13" s="8">
        <f>PRODUCT(C13,D13)</f>
        <v>1800</v>
      </c>
    </row>
    <row r="14" spans="1:5">
      <c r="A14" s="2" t="s">
        <v>19</v>
      </c>
      <c r="B14" s="2" t="s">
        <v>21</v>
      </c>
      <c r="C14" s="2">
        <v>6</v>
      </c>
      <c r="D14" s="7">
        <v>6500</v>
      </c>
      <c r="E14" s="8">
        <f>PRODUCT(C14,D14)</f>
        <v>39000</v>
      </c>
    </row>
    <row r="15" spans="1:5">
      <c r="A15" s="2" t="s">
        <v>19</v>
      </c>
      <c r="B15" s="2" t="s">
        <v>20</v>
      </c>
      <c r="C15" s="2">
        <v>6</v>
      </c>
      <c r="D15" s="7">
        <v>2500</v>
      </c>
      <c r="E15" s="8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88D8-F9AF-4300-BA7F-36A5AAAC0D33}">
  <dimension ref="A1:E20"/>
  <sheetViews>
    <sheetView tabSelected="1" topLeftCell="A7" workbookViewId="0">
      <selection activeCell="B21" sqref="B21"/>
    </sheetView>
  </sheetViews>
  <sheetFormatPr defaultRowHeight="15"/>
  <cols>
    <col min="1" max="1" width="20" customWidth="1"/>
    <col min="2" max="2" width="29.5703125" customWidth="1"/>
    <col min="4" max="4" width="20.85546875" customWidth="1"/>
    <col min="5" max="5" width="19.85546875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2" t="s">
        <v>5</v>
      </c>
      <c r="B2" s="2" t="s">
        <v>6</v>
      </c>
      <c r="C2" s="3">
        <v>12</v>
      </c>
      <c r="D2" s="7">
        <v>6500</v>
      </c>
      <c r="E2" s="8">
        <f>PRODUCT(C2,D2)</f>
        <v>78000</v>
      </c>
    </row>
    <row r="3" spans="1:5" ht="29.25">
      <c r="A3" s="2" t="s">
        <v>7</v>
      </c>
      <c r="B3" s="4" t="s">
        <v>8</v>
      </c>
      <c r="C3" s="3">
        <v>10</v>
      </c>
      <c r="D3" s="7">
        <v>4800</v>
      </c>
      <c r="E3" s="8">
        <f t="shared" ref="E3:E15" si="0">PRODUCT(C3,D3)</f>
        <v>48000</v>
      </c>
    </row>
    <row r="4" spans="1:5">
      <c r="A4" s="2" t="s">
        <v>5</v>
      </c>
      <c r="B4" s="2" t="s">
        <v>9</v>
      </c>
      <c r="C4" s="3">
        <v>8</v>
      </c>
      <c r="D4" s="7">
        <v>7800</v>
      </c>
      <c r="E4" s="8">
        <f t="shared" si="0"/>
        <v>62400</v>
      </c>
    </row>
    <row r="5" spans="1:5" ht="21.75" customHeight="1">
      <c r="A5" s="2" t="s">
        <v>10</v>
      </c>
      <c r="B5" s="4" t="s">
        <v>11</v>
      </c>
      <c r="C5" s="3">
        <v>7</v>
      </c>
      <c r="D5" s="7">
        <v>8500</v>
      </c>
      <c r="E5" s="8">
        <f t="shared" si="0"/>
        <v>59500</v>
      </c>
    </row>
    <row r="6" spans="1:5">
      <c r="A6" s="2" t="s">
        <v>10</v>
      </c>
      <c r="B6" s="2" t="s">
        <v>12</v>
      </c>
      <c r="C6" s="2">
        <v>4</v>
      </c>
      <c r="D6" s="7">
        <v>5000</v>
      </c>
      <c r="E6" s="8">
        <f t="shared" si="0"/>
        <v>20000</v>
      </c>
    </row>
    <row r="7" spans="1:5">
      <c r="A7" s="2" t="s">
        <v>13</v>
      </c>
      <c r="B7" s="2" t="s">
        <v>14</v>
      </c>
      <c r="C7" s="2">
        <v>4</v>
      </c>
      <c r="D7" s="7">
        <v>1800</v>
      </c>
      <c r="E7" s="8">
        <f t="shared" si="0"/>
        <v>7200</v>
      </c>
    </row>
    <row r="8" spans="1:5">
      <c r="A8" s="2" t="s">
        <v>13</v>
      </c>
      <c r="B8" s="2" t="s">
        <v>15</v>
      </c>
      <c r="C8" s="2">
        <v>3</v>
      </c>
      <c r="D8" s="7">
        <v>2600</v>
      </c>
      <c r="E8" s="8">
        <f t="shared" si="0"/>
        <v>7800</v>
      </c>
    </row>
    <row r="9" spans="1:5">
      <c r="A9" s="2" t="s">
        <v>13</v>
      </c>
      <c r="B9" s="2" t="s">
        <v>16</v>
      </c>
      <c r="C9" s="2">
        <v>5</v>
      </c>
      <c r="D9" s="7">
        <v>1200</v>
      </c>
      <c r="E9" s="8">
        <f t="shared" si="0"/>
        <v>6000</v>
      </c>
    </row>
    <row r="10" spans="1:5">
      <c r="A10" s="2" t="s">
        <v>7</v>
      </c>
      <c r="B10" s="2" t="s">
        <v>17</v>
      </c>
      <c r="C10" s="2">
        <v>2</v>
      </c>
      <c r="D10" s="7">
        <v>9400</v>
      </c>
      <c r="E10" s="8">
        <f t="shared" si="0"/>
        <v>18800</v>
      </c>
    </row>
    <row r="11" spans="1:5">
      <c r="A11" s="2" t="s">
        <v>5</v>
      </c>
      <c r="B11" s="2" t="s">
        <v>18</v>
      </c>
      <c r="C11" s="3">
        <v>8</v>
      </c>
      <c r="D11" s="7">
        <v>12000</v>
      </c>
      <c r="E11" s="8">
        <f t="shared" si="0"/>
        <v>96000</v>
      </c>
    </row>
    <row r="12" spans="1:5">
      <c r="A12" s="2" t="s">
        <v>19</v>
      </c>
      <c r="B12" s="2" t="s">
        <v>20</v>
      </c>
      <c r="C12" s="2">
        <v>6</v>
      </c>
      <c r="D12" s="7">
        <v>2500</v>
      </c>
      <c r="E12" s="8">
        <f t="shared" si="0"/>
        <v>15000</v>
      </c>
    </row>
    <row r="13" spans="1:5">
      <c r="A13" s="2" t="s">
        <v>19</v>
      </c>
      <c r="B13" s="2" t="s">
        <v>21</v>
      </c>
      <c r="C13" s="2">
        <v>6</v>
      </c>
      <c r="D13" s="7">
        <v>6500</v>
      </c>
      <c r="E13" s="8">
        <f t="shared" si="0"/>
        <v>39000</v>
      </c>
    </row>
    <row r="14" spans="1:5">
      <c r="A14" s="2" t="s">
        <v>7</v>
      </c>
      <c r="B14" s="2" t="s">
        <v>22</v>
      </c>
      <c r="C14" s="2">
        <v>2</v>
      </c>
      <c r="D14" s="7">
        <v>2400</v>
      </c>
      <c r="E14" s="8">
        <f t="shared" si="0"/>
        <v>4800</v>
      </c>
    </row>
    <row r="15" spans="1:5">
      <c r="A15" s="2" t="s">
        <v>5</v>
      </c>
      <c r="B15" s="2" t="s">
        <v>23</v>
      </c>
      <c r="C15" s="2">
        <v>1</v>
      </c>
      <c r="D15" s="7">
        <v>1800</v>
      </c>
      <c r="E15" s="8">
        <f t="shared" si="0"/>
        <v>1800</v>
      </c>
    </row>
    <row r="18" spans="1:2">
      <c r="A18" t="s">
        <v>27</v>
      </c>
      <c r="B18">
        <f>SUMIFS(E2:E15,A2:A15,"c",C2:C15,"&lt;10")</f>
        <v>23600</v>
      </c>
    </row>
    <row r="19" spans="1:2" ht="21.75" customHeight="1">
      <c r="A19" t="s">
        <v>28</v>
      </c>
      <c r="B19" s="10">
        <f>COUNTIFS(A2:A15,"R",D2:D15,"&gt;2000", C2:C15,"&lt;4")</f>
        <v>1</v>
      </c>
    </row>
    <row r="20" spans="1:2">
      <c r="A20" t="s">
        <v>29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2026-02-19T03:40:02Z</dcterms:created>
  <dcterms:modified xsi:type="dcterms:W3CDTF">2026-02-19T04:46:37Z</dcterms:modified>
  <cp:category/>
  <cp:contentStatus/>
</cp:coreProperties>
</file>