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AB1CD8B-8FD2-43AB-87D0-C9B6EE6E5E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2" r:id="rId1"/>
    <sheet name="Hoja2" sheetId="3" r:id="rId2"/>
    <sheet name="Hoja3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3" i="3"/>
  <c r="E2" i="3"/>
  <c r="E14" i="3"/>
  <c r="E15" i="3"/>
  <c r="E12" i="3"/>
  <c r="E3" i="3"/>
  <c r="E7" i="3"/>
  <c r="E8" i="3"/>
  <c r="E9" i="3"/>
  <c r="E5" i="3"/>
  <c r="E6" i="3"/>
  <c r="E11" i="3"/>
  <c r="E4" i="3"/>
  <c r="E10" i="3"/>
  <c r="A20" i="2"/>
  <c r="A19" i="2"/>
  <c r="A18" i="2"/>
  <c r="A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B18" i="1"/>
  <c r="B17" i="1"/>
  <c r="B19" i="1"/>
</calcChain>
</file>

<file path=xl/sharedStrings.xml><?xml version="1.0" encoding="utf-8"?>
<sst xmlns="http://schemas.openxmlformats.org/spreadsheetml/2006/main" count="129" uniqueCount="31">
  <si>
    <t>CODIGO</t>
  </si>
  <si>
    <t>DESCRIPCION</t>
  </si>
  <si>
    <t>CANTIDAD</t>
  </si>
  <si>
    <t>PRECIO UNIT.</t>
  </si>
  <si>
    <t>TOTAL</t>
  </si>
  <si>
    <t>T</t>
  </si>
  <si>
    <t>Televisor 32"</t>
  </si>
  <si>
    <t xml:space="preserve">C 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</si>
  <si>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</si>
  <si>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</si>
  <si>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</si>
  <si>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</si>
  <si>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</si>
  <si>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</si>
  <si>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</si>
  <si>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</si>
  <si>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 xml:space="preserve">Radio AM/FM 3 bandas </t>
  </si>
  <si>
    <t>C</t>
  </si>
  <si>
    <t>Cocina industrial 6 hornallas</t>
  </si>
  <si>
    <t>Televisor 42" LED 3D</t>
  </si>
  <si>
    <t>V</t>
  </si>
  <si>
    <t>Ventilador 25" giratorio</t>
  </si>
  <si>
    <t>Aire acondicionado F/C</t>
  </si>
  <si>
    <t xml:space="preserve">Anafe 2 hornallas </t>
  </si>
  <si>
    <t>TV portatil (12V)</t>
  </si>
  <si>
    <t>&gt;=5</t>
  </si>
  <si>
    <t>&gt;4</t>
  </si>
  <si>
    <t>&lt;9</t>
  </si>
  <si>
    <t>Importe Total</t>
  </si>
  <si>
    <t>Contar productos</t>
  </si>
  <si>
    <t>Promedio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</si>
</sst>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2C0A]\ 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7" fontId="0" fillId="0" borderId="1" xfId="0" applyNumberFormat="1" applyBorder="1"/>
    <xf numFmtId="0" fontId="2" fillId="2" borderId="2" xfId="0" applyFont="1" applyFill="1" applyBorder="1" applyAlignment="1">
      <alignment horizontal="center" vertical="center"/>
    </xf>
    <xf numFmtId="0" fontId="1" fillId="0" borderId="0" xfId="0" applyFont="1"/>
    <xf numFmtId="0" fontId="0" fillId="0" borderId="0" xfId="0" applyBorder="1"/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EDA56-10D9-470F-BC69-7B1634A31908}">
  <dimension ref="A1:F35"/>
  <sheetViews>
    <sheetView tabSelected="1" topLeftCell="A26" workbookViewId="0">
      <selection activeCell="B32" sqref="B32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17</v>
      </c>
      <c r="B10" s="2" t="s">
        <v>18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19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20</v>
      </c>
      <c r="B12" s="2" t="s">
        <v>21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20</v>
      </c>
      <c r="B13" s="2" t="s">
        <v>22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17</v>
      </c>
      <c r="B14" s="2" t="s">
        <v>23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24</v>
      </c>
      <c r="C15" s="2">
        <v>1</v>
      </c>
      <c r="D15" s="3">
        <v>1800</v>
      </c>
      <c r="E15" s="3">
        <f t="shared" si="0"/>
        <v>1800</v>
      </c>
    </row>
    <row r="17" spans="1:5">
      <c r="A17">
        <f>DMAX(A1:E15,D1,A25:E26)</f>
        <v>8500</v>
      </c>
    </row>
    <row r="18" spans="1:5">
      <c r="A18">
        <f>DSUM(A1:E15,E1,A28:E29)</f>
        <v>6000</v>
      </c>
    </row>
    <row r="19" spans="1:5">
      <c r="A19">
        <f>DGET(A1:E15,D1,A31:E32)</f>
        <v>1800</v>
      </c>
    </row>
    <row r="20" spans="1:5">
      <c r="A20">
        <f>DCOUNTA(A1:E15,B1,A34:F35)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10</v>
      </c>
    </row>
    <row r="28" spans="1: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</row>
    <row r="29" spans="1:5">
      <c r="A29" t="s">
        <v>13</v>
      </c>
      <c r="C29" t="s">
        <v>25</v>
      </c>
    </row>
    <row r="31" spans="1:5">
      <c r="A31" s="1" t="s">
        <v>0</v>
      </c>
      <c r="B31" s="7" t="s">
        <v>1</v>
      </c>
      <c r="C31" s="1" t="s">
        <v>2</v>
      </c>
      <c r="D31" s="1" t="s">
        <v>3</v>
      </c>
      <c r="E31" s="1" t="s">
        <v>4</v>
      </c>
    </row>
    <row r="32" spans="1:5">
      <c r="B32" s="6" t="s">
        <v>14</v>
      </c>
    </row>
    <row r="34" spans="1:6">
      <c r="A34" s="1" t="s">
        <v>0</v>
      </c>
      <c r="B34" s="1" t="s">
        <v>1</v>
      </c>
      <c r="C34" s="1" t="s">
        <v>2</v>
      </c>
      <c r="D34" s="1" t="s">
        <v>3</v>
      </c>
      <c r="E34" s="4" t="s">
        <v>4</v>
      </c>
      <c r="F34" s="1" t="s">
        <v>2</v>
      </c>
    </row>
    <row r="35" spans="1:6">
      <c r="C35" t="s">
        <v>26</v>
      </c>
      <c r="F3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7D14-09EF-4805-BC86-6EBEDB0F7D58}">
  <dimension ref="A1:E15"/>
  <sheetViews>
    <sheetView workbookViewId="0">
      <selection activeCell="A16" sqref="A16"/>
    </sheetView>
  </sheetViews>
  <sheetFormatPr defaultRowHeight="15"/>
  <cols>
    <col min="2" max="2" width="28" customWidth="1"/>
    <col min="3" max="3" width="12.5703125" customWidth="1"/>
    <col min="4" max="4" width="14.7109375" customWidth="1"/>
    <col min="5" max="5" width="13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17</v>
      </c>
      <c r="B2" s="2" t="s">
        <v>23</v>
      </c>
      <c r="C2" s="2">
        <v>2</v>
      </c>
      <c r="D2" s="3">
        <v>2400</v>
      </c>
      <c r="E2" s="3">
        <f>PRODUCT(C2,D2)</f>
        <v>4800</v>
      </c>
    </row>
    <row r="3" spans="1:5">
      <c r="A3" s="2" t="s">
        <v>17</v>
      </c>
      <c r="B3" s="2" t="s">
        <v>18</v>
      </c>
      <c r="C3" s="2">
        <v>2</v>
      </c>
      <c r="D3" s="3">
        <v>9400</v>
      </c>
      <c r="E3" s="3">
        <f>PRODUCT(C3,D3)</f>
        <v>18800</v>
      </c>
    </row>
    <row r="4" spans="1:5">
      <c r="A4" s="2" t="s">
        <v>7</v>
      </c>
      <c r="B4" s="2" t="s">
        <v>8</v>
      </c>
      <c r="C4" s="2">
        <v>10</v>
      </c>
      <c r="D4" s="3">
        <v>4800</v>
      </c>
      <c r="E4" s="3">
        <f>PRODUCT(C4,D4)</f>
        <v>48000</v>
      </c>
    </row>
    <row r="5" spans="1:5">
      <c r="A5" s="2" t="s">
        <v>10</v>
      </c>
      <c r="B5" s="2" t="s">
        <v>12</v>
      </c>
      <c r="C5" s="2">
        <v>4</v>
      </c>
      <c r="D5" s="3">
        <v>5000</v>
      </c>
      <c r="E5" s="3">
        <f>PRODUCT(C5,D5)</f>
        <v>20000</v>
      </c>
    </row>
    <row r="6" spans="1:5">
      <c r="A6" s="2" t="s">
        <v>10</v>
      </c>
      <c r="B6" s="2" t="s">
        <v>11</v>
      </c>
      <c r="C6" s="2">
        <v>7</v>
      </c>
      <c r="D6" s="3">
        <v>8500</v>
      </c>
      <c r="E6" s="3">
        <f>PRODUCT(C6,D6)</f>
        <v>59500</v>
      </c>
    </row>
    <row r="7" spans="1:5">
      <c r="A7" s="2" t="s">
        <v>13</v>
      </c>
      <c r="B7" s="2" t="s">
        <v>16</v>
      </c>
      <c r="C7" s="2">
        <v>5</v>
      </c>
      <c r="D7" s="3">
        <v>1200</v>
      </c>
      <c r="E7" s="3">
        <f>PRODUCT(C7,D7)</f>
        <v>6000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>PRODUCT(C8,D8)</f>
        <v>7800</v>
      </c>
    </row>
    <row r="9" spans="1:5">
      <c r="A9" s="2" t="s">
        <v>13</v>
      </c>
      <c r="B9" s="2" t="s">
        <v>14</v>
      </c>
      <c r="C9" s="2">
        <v>4</v>
      </c>
      <c r="D9" s="3">
        <v>1800</v>
      </c>
      <c r="E9" s="3">
        <f>PRODUCT(C9,D9)</f>
        <v>7200</v>
      </c>
    </row>
    <row r="10" spans="1:5">
      <c r="A10" s="2" t="s">
        <v>5</v>
      </c>
      <c r="B10" s="2" t="s">
        <v>6</v>
      </c>
      <c r="C10" s="2">
        <v>12</v>
      </c>
      <c r="D10" s="3">
        <v>6500</v>
      </c>
      <c r="E10" s="3">
        <f>PRODUCT(C10,D10)</f>
        <v>78000</v>
      </c>
    </row>
    <row r="11" spans="1:5">
      <c r="A11" s="2" t="s">
        <v>5</v>
      </c>
      <c r="B11" s="2" t="s">
        <v>9</v>
      </c>
      <c r="C11" s="2">
        <v>8</v>
      </c>
      <c r="D11" s="3">
        <v>7800</v>
      </c>
      <c r="E11" s="3">
        <f>PRODUCT(C11,D11)</f>
        <v>62400</v>
      </c>
    </row>
    <row r="12" spans="1:5">
      <c r="A12" s="2" t="s">
        <v>5</v>
      </c>
      <c r="B12" s="2" t="s">
        <v>19</v>
      </c>
      <c r="C12" s="2">
        <v>8</v>
      </c>
      <c r="D12" s="3">
        <v>12000</v>
      </c>
      <c r="E12" s="3">
        <f>PRODUCT(C12,D12)</f>
        <v>96000</v>
      </c>
    </row>
    <row r="13" spans="1:5">
      <c r="A13" s="2" t="s">
        <v>5</v>
      </c>
      <c r="B13" s="2" t="s">
        <v>24</v>
      </c>
      <c r="C13" s="2">
        <v>1</v>
      </c>
      <c r="D13" s="3">
        <v>1800</v>
      </c>
      <c r="E13" s="3">
        <f>PRODUCT(C13,D13)</f>
        <v>1800</v>
      </c>
    </row>
    <row r="14" spans="1:5">
      <c r="A14" s="2" t="s">
        <v>20</v>
      </c>
      <c r="B14" s="2" t="s">
        <v>22</v>
      </c>
      <c r="C14" s="2">
        <v>6</v>
      </c>
      <c r="D14" s="3">
        <v>6500</v>
      </c>
      <c r="E14" s="3">
        <f>PRODUCT(C14,D14)</f>
        <v>39000</v>
      </c>
    </row>
    <row r="15" spans="1:5">
      <c r="A15" s="2" t="s">
        <v>20</v>
      </c>
      <c r="B15" s="2" t="s">
        <v>21</v>
      </c>
      <c r="C15" s="2">
        <v>6</v>
      </c>
      <c r="D15" s="3">
        <v>2500</v>
      </c>
      <c r="E15" s="3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activeCell="A21" sqref="A21"/>
    </sheetView>
  </sheetViews>
  <sheetFormatPr defaultRowHeight="15"/>
  <cols>
    <col min="1" max="1" width="16.85546875" bestFit="1" customWidth="1"/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17</v>
      </c>
      <c r="B10" s="2" t="s">
        <v>18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19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20</v>
      </c>
      <c r="B12" s="2" t="s">
        <v>21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20</v>
      </c>
      <c r="B13" s="2" t="s">
        <v>22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17</v>
      </c>
      <c r="B14" s="2" t="s">
        <v>23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24</v>
      </c>
      <c r="C15" s="2">
        <v>1</v>
      </c>
      <c r="D15" s="3">
        <v>1800</v>
      </c>
      <c r="E15" s="3">
        <f t="shared" si="0"/>
        <v>1800</v>
      </c>
    </row>
    <row r="17" spans="1:2">
      <c r="A17" s="5" t="s">
        <v>28</v>
      </c>
      <c r="B17">
        <f>SUMIFS(E2:E15,A2:A15,"C",C2:C15,"&lt;10")</f>
        <v>23600</v>
      </c>
    </row>
    <row r="18" spans="1:2">
      <c r="A18" s="5" t="s">
        <v>29</v>
      </c>
      <c r="B18">
        <f>COUNTIFS(A2:A15,"R",D2:D15,"&gt;2000",C2:C15,"&lt;4")</f>
        <v>1</v>
      </c>
    </row>
    <row r="19" spans="1:2">
      <c r="A19" s="5" t="s">
        <v>30</v>
      </c>
      <c r="B19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2026-02-15T00:38:32Z</dcterms:created>
  <dcterms:modified xsi:type="dcterms:W3CDTF">2026-02-15T01:31:32Z</dcterms:modified>
  <cp:category/>
  <cp:contentStatus/>
</cp:coreProperties>
</file>