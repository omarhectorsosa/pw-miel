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E557D723-30FA-4682-BABC-E495AB86CB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  <c r="H6" i="1"/>
  <c r="H7" i="1"/>
  <c r="H8" i="1"/>
  <c r="H9" i="1"/>
  <c r="H10" i="1"/>
  <c r="H11" i="1"/>
  <c r="H12" i="1"/>
  <c r="H13" i="1"/>
  <c r="H14" i="1"/>
  <c r="H15" i="1"/>
  <c r="H16" i="1"/>
  <c r="H5" i="1"/>
  <c r="G6" i="1"/>
  <c r="G7" i="1"/>
  <c r="G8" i="1"/>
  <c r="G9" i="1"/>
  <c r="G10" i="1"/>
  <c r="G11" i="1"/>
  <c r="G12" i="1"/>
  <c r="G13" i="1"/>
  <c r="G14" i="1"/>
  <c r="G15" i="1"/>
  <c r="G16" i="1"/>
  <c r="G5" i="1"/>
  <c r="F6" i="1"/>
  <c r="F7" i="1"/>
  <c r="F8" i="1"/>
  <c r="F9" i="1"/>
  <c r="F10" i="1"/>
  <c r="F11" i="1"/>
  <c r="F12" i="1"/>
  <c r="F13" i="1"/>
  <c r="F14" i="1"/>
  <c r="F15" i="1"/>
  <c r="F16" i="1"/>
  <c r="F5" i="1"/>
  <c r="C6" i="1"/>
  <c r="C7" i="1"/>
  <c r="C8" i="1"/>
  <c r="C9" i="1"/>
  <c r="C10" i="1"/>
  <c r="C11" i="1"/>
  <c r="C12" i="1"/>
  <c r="C13" i="1"/>
  <c r="C14" i="1"/>
  <c r="C15" i="1"/>
  <c r="C16" i="1"/>
  <c r="C5" i="1"/>
  <c r="B6" i="1"/>
  <c r="B7" i="1"/>
  <c r="B8" i="1"/>
  <c r="B9" i="1"/>
  <c r="B10" i="1"/>
  <c r="B11" i="1"/>
  <c r="B12" i="1"/>
  <c r="B13" i="1"/>
  <c r="B14" i="1"/>
  <c r="B15" i="1"/>
  <c r="B16" i="1"/>
  <c r="B5" i="1"/>
</calcChain>
</file>

<file path=xl/sharedStrings.xml><?xml version="1.0" encoding="utf-8"?>
<sst xmlns="http://schemas.openxmlformats.org/spreadsheetml/2006/main" count="48" uniqueCount="34">
  <si>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</si>
  <si>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</si>
  <si>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</si>
  <si>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</si>
  <si>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</si>
  <si>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</si>
  <si>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</si>
  <si>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</si>
  <si>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</si>
  <si>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</si>
  <si>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Codigo de departamento</t>
  </si>
  <si>
    <t>Derecho Publico</t>
  </si>
  <si>
    <t>A</t>
  </si>
  <si>
    <t>Derecho Penal</t>
  </si>
  <si>
    <t>Derecho Civil</t>
  </si>
  <si>
    <t>Sistemas Operativos</t>
  </si>
  <si>
    <t>B</t>
  </si>
  <si>
    <t>Analisis Matematico</t>
  </si>
  <si>
    <t>Computacion I</t>
  </si>
  <si>
    <t>c</t>
  </si>
  <si>
    <t>Estadistica</t>
  </si>
  <si>
    <t>Computacion II</t>
  </si>
  <si>
    <t>Ingles I</t>
  </si>
  <si>
    <t>C</t>
  </si>
  <si>
    <t>Anatomia I</t>
  </si>
  <si>
    <t>D</t>
  </si>
  <si>
    <t>Biologia I</t>
  </si>
  <si>
    <t>Enfermeria</t>
  </si>
  <si>
    <t>Codigo de Departamento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</si>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</sst>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164" fontId="0" fillId="0" borderId="6" xfId="0" applyNumberFormat="1" applyBorder="1"/>
    <xf numFmtId="164" fontId="0" fillId="0" borderId="9" xfId="0" applyNumberFormat="1" applyBorder="1"/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J16"/>
  <sheetViews>
    <sheetView tabSelected="1" workbookViewId="0">
      <selection activeCell="K7" sqref="K7"/>
    </sheetView>
  </sheetViews>
  <sheetFormatPr defaultRowHeight="15"/>
  <cols>
    <col min="1" max="1" width="18.140625" bestFit="1" customWidth="1"/>
    <col min="2" max="2" width="24" customWidth="1"/>
    <col min="3" max="3" width="29.28515625" customWidth="1"/>
    <col min="4" max="4" width="23.140625" bestFit="1" customWidth="1"/>
    <col min="5" max="5" width="20.140625" bestFit="1" customWidth="1"/>
    <col min="6" max="6" width="9.5703125" bestFit="1" customWidth="1"/>
    <col min="7" max="7" width="14" bestFit="1" customWidth="1"/>
    <col min="8" max="8" width="21.5703125" bestFit="1" customWidth="1"/>
    <col min="9" max="9" width="43.28515625" customWidth="1"/>
  </cols>
  <sheetData>
    <row r="2" spans="1:10">
      <c r="A2" s="16" t="s">
        <v>0</v>
      </c>
      <c r="B2" s="16"/>
      <c r="C2" s="16"/>
      <c r="D2" s="16"/>
      <c r="E2" s="16"/>
      <c r="F2" s="16"/>
      <c r="G2" s="16"/>
      <c r="H2" s="16"/>
      <c r="I2" s="16"/>
    </row>
    <row r="4" spans="1:10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</row>
    <row r="5" spans="1:10">
      <c r="A5">
        <v>1120</v>
      </c>
      <c r="B5" t="str">
        <f>VLOOKUP(A5,Materias!$B$3:$D$15,2,0)</f>
        <v>Analisis Matematico</v>
      </c>
      <c r="C5" s="11" t="str">
        <f>VLOOKUP(VLOOKUP(A5,Materias!$B$3:$D$15,3,0),Departamentos!$B$3:$D$7,2,0)</f>
        <v>Ingenieria</v>
      </c>
      <c r="D5" s="1">
        <v>42566</v>
      </c>
      <c r="E5">
        <v>232</v>
      </c>
      <c r="F5" t="str">
        <f>IF(E5&lt;150,"BAJA",IF(E5&lt;200,"NORMAL","ALTA"))</f>
        <v>ALTA</v>
      </c>
      <c r="G5" t="b">
        <f>AND(E5&lt;180,D5&gt;DATE(2016,7,15))</f>
        <v>0</v>
      </c>
      <c r="H5" s="1">
        <f>D5+ROUNDUP(E5/10,0)</f>
        <v>42590</v>
      </c>
      <c r="I5" s="15">
        <f>VLOOKUP(VLOOKUP(A5,Materias!$B$3:$D$15,3,FALSE),Departamentos!$B$3:$D$7,3,FALSE)</f>
        <v>180</v>
      </c>
    </row>
    <row r="6" spans="1:10">
      <c r="A6">
        <v>1200</v>
      </c>
      <c r="B6" t="str">
        <f>VLOOKUP(A6,Materias!$B$3:$D$15,2,0)</f>
        <v>Estadistica</v>
      </c>
      <c r="C6" s="11" t="str">
        <f>VLOOKUP(VLOOKUP(A6,Materias!$B$3:$D$15,3,0),Departamentos!$B$3:$D$7,2,0)</f>
        <v>Economicas</v>
      </c>
      <c r="D6" s="1">
        <v>42571</v>
      </c>
      <c r="E6">
        <v>158</v>
      </c>
      <c r="F6" t="str">
        <f t="shared" ref="F6:F16" si="0">IF(E6&lt;150,"BAJA",IF(E6&lt;200,"NORMAL","ALTA"))</f>
        <v>NORMAL</v>
      </c>
      <c r="G6" t="b">
        <f t="shared" ref="G6:G16" si="1">AND(E6&lt;180,D6&gt;DATE(2016,7,15))</f>
        <v>1</v>
      </c>
      <c r="H6" s="1">
        <f t="shared" ref="H6:H16" si="2">D6+ROUNDUP(E6/10,0)</f>
        <v>42587</v>
      </c>
      <c r="I6" s="15">
        <f>VLOOKUP(VLOOKUP(A6,Materias!$B$3:$D$15,3,FALSE),Departamentos!$B$3:$D$7,3,FALSE)</f>
        <v>250</v>
      </c>
    </row>
    <row r="7" spans="1:10">
      <c r="A7">
        <v>1150</v>
      </c>
      <c r="B7" t="str">
        <f>VLOOKUP(A7,Materias!$B$3:$D$15,2,0)</f>
        <v>Computacion I</v>
      </c>
      <c r="C7" s="11" t="str">
        <f>VLOOKUP(VLOOKUP(A7,Materias!$B$3:$D$15,3,0),Departamentos!$B$3:$D$7,2,0)</f>
        <v>Economicas</v>
      </c>
      <c r="D7" s="1">
        <v>42562</v>
      </c>
      <c r="E7">
        <v>175</v>
      </c>
      <c r="F7" t="str">
        <f t="shared" si="0"/>
        <v>NORMAL</v>
      </c>
      <c r="G7" t="b">
        <f t="shared" si="1"/>
        <v>0</v>
      </c>
      <c r="H7" s="1">
        <f t="shared" si="2"/>
        <v>42580</v>
      </c>
      <c r="I7" s="15">
        <f>VLOOKUP(VLOOKUP(A7,Materias!$B$3:$D$15,3,FALSE),Departamentos!$B$3:$D$7,3,FALSE)</f>
        <v>250</v>
      </c>
      <c r="J7" s="11"/>
    </row>
    <row r="8" spans="1:10">
      <c r="A8">
        <v>1250</v>
      </c>
      <c r="B8" t="str">
        <f>VLOOKUP(A8,Materias!$B$3:$D$15,2,0)</f>
        <v>Computacion II</v>
      </c>
      <c r="C8" s="11" t="str">
        <f>VLOOKUP(VLOOKUP(A8,Materias!$B$3:$D$15,3,0),Departamentos!$B$3:$D$7,2,0)</f>
        <v>Economicas</v>
      </c>
      <c r="D8" s="1">
        <v>42558</v>
      </c>
      <c r="E8">
        <v>196</v>
      </c>
      <c r="F8" t="str">
        <f t="shared" si="0"/>
        <v>NORMAL</v>
      </c>
      <c r="G8" t="b">
        <f t="shared" si="1"/>
        <v>0</v>
      </c>
      <c r="H8" s="1">
        <f t="shared" si="2"/>
        <v>42578</v>
      </c>
      <c r="I8" s="15">
        <f>VLOOKUP(VLOOKUP(A8,Materias!$B$3:$D$15,3,FALSE),Departamentos!$B$3:$D$7,3,FALSE)</f>
        <v>250</v>
      </c>
    </row>
    <row r="9" spans="1:10">
      <c r="A9">
        <v>1010</v>
      </c>
      <c r="B9" t="str">
        <f>VLOOKUP(A9,Materias!$B$3:$D$15,2,0)</f>
        <v>Derecho Publico</v>
      </c>
      <c r="C9" s="11" t="str">
        <f>VLOOKUP(VLOOKUP(A9,Materias!$B$3:$D$15,3,0),Departamentos!$B$3:$D$7,2,0)</f>
        <v>Derecho</v>
      </c>
      <c r="D9" s="1">
        <v>42569</v>
      </c>
      <c r="E9">
        <v>202</v>
      </c>
      <c r="F9" t="str">
        <f t="shared" si="0"/>
        <v>ALTA</v>
      </c>
      <c r="G9" t="b">
        <f t="shared" si="1"/>
        <v>0</v>
      </c>
      <c r="H9" s="1">
        <f t="shared" si="2"/>
        <v>42590</v>
      </c>
      <c r="I9" s="15">
        <f>VLOOKUP(VLOOKUP(A9,Materias!$B$3:$D$15,3,FALSE),Departamentos!$B$3:$D$7,3,FALSE)</f>
        <v>220</v>
      </c>
    </row>
    <row r="10" spans="1:10">
      <c r="A10">
        <v>1080</v>
      </c>
      <c r="B10" t="str">
        <f>VLOOKUP(A10,Materias!$B$3:$D$15,2,0)</f>
        <v>Sistemas Operativos</v>
      </c>
      <c r="C10" s="11" t="str">
        <f>VLOOKUP(VLOOKUP(A10,Materias!$B$3:$D$15,3,0),Departamentos!$B$3:$D$7,2,0)</f>
        <v>Ingenieria</v>
      </c>
      <c r="D10" s="1">
        <v>42574</v>
      </c>
      <c r="E10">
        <v>141</v>
      </c>
      <c r="F10" t="str">
        <f t="shared" si="0"/>
        <v>BAJA</v>
      </c>
      <c r="G10" t="b">
        <f t="shared" si="1"/>
        <v>1</v>
      </c>
      <c r="H10" s="1">
        <f t="shared" si="2"/>
        <v>42589</v>
      </c>
      <c r="I10" s="15">
        <f>VLOOKUP(VLOOKUP(A10,Materias!$B$3:$D$15,3,FALSE),Departamentos!$B$3:$D$7,3,FALSE)</f>
        <v>180</v>
      </c>
    </row>
    <row r="11" spans="1:10">
      <c r="A11">
        <v>1300</v>
      </c>
      <c r="B11" t="str">
        <f>VLOOKUP(A11,Materias!$B$3:$D$15,2,0)</f>
        <v>Ingles I</v>
      </c>
      <c r="C11" s="11" t="str">
        <f>VLOOKUP(VLOOKUP(A11,Materias!$B$3:$D$15,3,0),Departamentos!$B$3:$D$7,2,0)</f>
        <v>Economicas</v>
      </c>
      <c r="D11" s="1">
        <v>42578</v>
      </c>
      <c r="E11">
        <v>215</v>
      </c>
      <c r="F11" t="str">
        <f t="shared" si="0"/>
        <v>ALTA</v>
      </c>
      <c r="G11" t="b">
        <f t="shared" si="1"/>
        <v>0</v>
      </c>
      <c r="H11" s="1">
        <f t="shared" si="2"/>
        <v>42600</v>
      </c>
      <c r="I11" s="15">
        <f>VLOOKUP(VLOOKUP(A11,Materias!$B$3:$D$15,3,FALSE),Departamentos!$B$3:$D$7,3,FALSE)</f>
        <v>250</v>
      </c>
    </row>
    <row r="12" spans="1:10">
      <c r="A12">
        <v>1420</v>
      </c>
      <c r="B12" t="e">
        <f>VLOOKUP(A12,Materias!$B$3:$D$15,2,0)</f>
        <v>#N/A</v>
      </c>
      <c r="C12" s="11" t="e">
        <f>VLOOKUP(VLOOKUP(A12,Materias!$B$3:$D$15,3,0),Departamentos!$B$3:$D$7,2,0)</f>
        <v>#N/A</v>
      </c>
      <c r="D12" s="1">
        <v>42564</v>
      </c>
      <c r="E12">
        <v>136</v>
      </c>
      <c r="F12" t="str">
        <f t="shared" si="0"/>
        <v>BAJA</v>
      </c>
      <c r="G12" t="b">
        <f t="shared" si="1"/>
        <v>0</v>
      </c>
      <c r="H12" s="1">
        <f t="shared" si="2"/>
        <v>42578</v>
      </c>
      <c r="I12" s="15" t="e">
        <f>VLOOKUP(VLOOKUP(A12,Materias!$B$3:$D$15,3,FALSE),Departamentos!$B$3:$D$7,3,FALSE)</f>
        <v>#N/A</v>
      </c>
    </row>
    <row r="13" spans="1:10">
      <c r="A13">
        <v>1280</v>
      </c>
      <c r="B13" t="str">
        <f>VLOOKUP(A13,Materias!$B$3:$D$15,2,0)</f>
        <v>Derecho Penal</v>
      </c>
      <c r="C13" s="11" t="str">
        <f>VLOOKUP(VLOOKUP(A13,Materias!$B$3:$D$15,3,0),Departamentos!$B$3:$D$7,2,0)</f>
        <v>Derecho</v>
      </c>
      <c r="D13" s="1">
        <v>42572</v>
      </c>
      <c r="E13">
        <v>168</v>
      </c>
      <c r="F13" t="str">
        <f t="shared" si="0"/>
        <v>NORMAL</v>
      </c>
      <c r="G13" t="b">
        <f t="shared" si="1"/>
        <v>1</v>
      </c>
      <c r="H13" s="1">
        <f t="shared" si="2"/>
        <v>42589</v>
      </c>
      <c r="I13" s="15">
        <f>VLOOKUP(VLOOKUP(A13,Materias!$B$3:$D$15,3,FALSE),Departamentos!$B$3:$D$7,3,FALSE)</f>
        <v>220</v>
      </c>
    </row>
    <row r="14" spans="1:10">
      <c r="A14">
        <v>1825</v>
      </c>
      <c r="B14" t="str">
        <f>VLOOKUP(A14,Materias!$B$3:$D$15,2,0)</f>
        <v>Anatomia I</v>
      </c>
      <c r="C14" s="11" t="str">
        <f>VLOOKUP(VLOOKUP(A14,Materias!$B$3:$D$15,3,0),Departamentos!$B$3:$D$7,2,0)</f>
        <v>Medicina</v>
      </c>
      <c r="D14" s="1">
        <v>42573</v>
      </c>
      <c r="E14">
        <v>169</v>
      </c>
      <c r="F14" t="str">
        <f t="shared" si="0"/>
        <v>NORMAL</v>
      </c>
      <c r="G14" t="b">
        <f t="shared" si="1"/>
        <v>1</v>
      </c>
      <c r="H14" s="1">
        <f t="shared" si="2"/>
        <v>42590</v>
      </c>
      <c r="I14" s="15">
        <f>VLOOKUP(VLOOKUP(A14,Materias!$B$3:$D$15,3,FALSE),Departamentos!$B$3:$D$7,3,FALSE)</f>
        <v>300</v>
      </c>
    </row>
    <row r="15" spans="1:10">
      <c r="A15">
        <v>1850</v>
      </c>
      <c r="B15" t="str">
        <f>VLOOKUP(A15,Materias!$B$3:$D$15,2,0)</f>
        <v>Biologia I</v>
      </c>
      <c r="C15" s="11" t="str">
        <f>VLOOKUP(VLOOKUP(A15,Materias!$B$3:$D$15,3,0),Departamentos!$B$3:$D$7,2,0)</f>
        <v>Medicina</v>
      </c>
      <c r="D15" s="1">
        <v>42574</v>
      </c>
      <c r="E15">
        <v>170</v>
      </c>
      <c r="F15" t="str">
        <f t="shared" si="0"/>
        <v>NORMAL</v>
      </c>
      <c r="G15" t="b">
        <f t="shared" si="1"/>
        <v>1</v>
      </c>
      <c r="H15" s="1">
        <f t="shared" si="2"/>
        <v>42591</v>
      </c>
      <c r="I15" s="15">
        <f>VLOOKUP(VLOOKUP(A15,Materias!$B$3:$D$15,3,FALSE),Departamentos!$B$3:$D$7,3,FALSE)</f>
        <v>300</v>
      </c>
    </row>
    <row r="16" spans="1:10">
      <c r="A16">
        <v>1860</v>
      </c>
      <c r="B16" t="str">
        <f>VLOOKUP(A16,Materias!$B$3:$D$15,2,0)</f>
        <v>Enfermeria</v>
      </c>
      <c r="C16" s="11" t="str">
        <f>VLOOKUP(VLOOKUP(A16,Materias!$B$3:$D$15,3,0),Departamentos!$B$3:$D$7,2,0)</f>
        <v>Medicina</v>
      </c>
      <c r="D16" s="1">
        <v>42575</v>
      </c>
      <c r="E16">
        <v>171</v>
      </c>
      <c r="F16" t="str">
        <f t="shared" si="0"/>
        <v>NORMAL</v>
      </c>
      <c r="G16" t="b">
        <f t="shared" si="1"/>
        <v>1</v>
      </c>
      <c r="H16" s="1">
        <f t="shared" si="2"/>
        <v>42593</v>
      </c>
      <c r="I16" s="15">
        <f>VLOOKUP(VLOOKUP(A16,Materias!$B$3:$D$15,3,FALSE),Departamentos!$B$3:$D$7,3,FALSE)</f>
        <v>300</v>
      </c>
    </row>
  </sheetData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A0EE-E983-47CF-996C-FAE79068D29F}">
  <sheetPr>
    <tabColor rgb="FFFFFF00"/>
  </sheetPr>
  <dimension ref="B3:D15"/>
  <sheetViews>
    <sheetView workbookViewId="0">
      <selection activeCell="E11" sqref="E11"/>
    </sheetView>
  </sheetViews>
  <sheetFormatPr defaultRowHeight="15"/>
  <cols>
    <col min="1" max="1" width="13" customWidth="1"/>
    <col min="2" max="2" width="18.5703125" bestFit="1" customWidth="1"/>
    <col min="3" max="3" width="22.5703125" bestFit="1" customWidth="1"/>
    <col min="4" max="4" width="21.85546875" customWidth="1"/>
  </cols>
  <sheetData>
    <row r="3" spans="2:4">
      <c r="B3" s="3" t="s">
        <v>1</v>
      </c>
      <c r="C3" s="4" t="s">
        <v>2</v>
      </c>
      <c r="D3" s="5" t="s">
        <v>10</v>
      </c>
    </row>
    <row r="4" spans="2:4">
      <c r="B4" s="6">
        <v>1010</v>
      </c>
      <c r="C4" s="2" t="s">
        <v>11</v>
      </c>
      <c r="D4" s="7" t="s">
        <v>12</v>
      </c>
    </row>
    <row r="5" spans="2:4">
      <c r="B5" s="6">
        <v>1280</v>
      </c>
      <c r="C5" s="2" t="s">
        <v>13</v>
      </c>
      <c r="D5" s="7" t="s">
        <v>12</v>
      </c>
    </row>
    <row r="6" spans="2:4">
      <c r="B6" s="6"/>
      <c r="C6" s="2" t="s">
        <v>14</v>
      </c>
      <c r="D6" s="7" t="s">
        <v>12</v>
      </c>
    </row>
    <row r="7" spans="2:4">
      <c r="B7" s="6">
        <v>1080</v>
      </c>
      <c r="C7" s="2" t="s">
        <v>15</v>
      </c>
      <c r="D7" s="7" t="s">
        <v>16</v>
      </c>
    </row>
    <row r="8" spans="2:4">
      <c r="B8" s="6">
        <v>1120</v>
      </c>
      <c r="C8" s="2" t="s">
        <v>17</v>
      </c>
      <c r="D8" s="7" t="s">
        <v>16</v>
      </c>
    </row>
    <row r="9" spans="2:4">
      <c r="B9" s="6">
        <v>1150</v>
      </c>
      <c r="C9" s="2" t="s">
        <v>18</v>
      </c>
      <c r="D9" s="7" t="s">
        <v>19</v>
      </c>
    </row>
    <row r="10" spans="2:4">
      <c r="B10" s="6">
        <v>1200</v>
      </c>
      <c r="C10" s="2" t="s">
        <v>20</v>
      </c>
      <c r="D10" s="7" t="s">
        <v>19</v>
      </c>
    </row>
    <row r="11" spans="2:4">
      <c r="B11" s="6">
        <v>1250</v>
      </c>
      <c r="C11" s="2" t="s">
        <v>21</v>
      </c>
      <c r="D11" s="7" t="s">
        <v>19</v>
      </c>
    </row>
    <row r="12" spans="2:4">
      <c r="B12" s="6">
        <v>1300</v>
      </c>
      <c r="C12" s="2" t="s">
        <v>22</v>
      </c>
      <c r="D12" s="7" t="s">
        <v>23</v>
      </c>
    </row>
    <row r="13" spans="2:4">
      <c r="B13" s="6">
        <v>1825</v>
      </c>
      <c r="C13" s="2" t="s">
        <v>24</v>
      </c>
      <c r="D13" s="7" t="s">
        <v>25</v>
      </c>
    </row>
    <row r="14" spans="2:4">
      <c r="B14" s="6">
        <v>1850</v>
      </c>
      <c r="C14" s="2" t="s">
        <v>26</v>
      </c>
      <c r="D14" s="7" t="s">
        <v>25</v>
      </c>
    </row>
    <row r="15" spans="2:4">
      <c r="B15" s="8">
        <v>1860</v>
      </c>
      <c r="C15" s="9" t="s">
        <v>27</v>
      </c>
      <c r="D15" s="1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0C8-1D5E-446D-A838-F4A639F2AE07}">
  <sheetPr>
    <tabColor rgb="FF00B050"/>
  </sheetPr>
  <dimension ref="B3:K11"/>
  <sheetViews>
    <sheetView workbookViewId="0">
      <selection activeCell="J9" sqref="J9"/>
    </sheetView>
  </sheetViews>
  <sheetFormatPr defaultRowHeight="15"/>
  <cols>
    <col min="1" max="1" width="14.140625" customWidth="1"/>
    <col min="2" max="2" width="13.5703125" bestFit="1" customWidth="1"/>
  </cols>
  <sheetData>
    <row r="3" spans="2:11">
      <c r="B3" s="3" t="s">
        <v>28</v>
      </c>
      <c r="C3" s="4" t="s">
        <v>3</v>
      </c>
      <c r="D3" s="5" t="s">
        <v>29</v>
      </c>
    </row>
    <row r="4" spans="2:11">
      <c r="B4" s="6" t="s">
        <v>12</v>
      </c>
      <c r="C4" s="2" t="s">
        <v>30</v>
      </c>
      <c r="D4" s="13">
        <v>220</v>
      </c>
    </row>
    <row r="5" spans="2:11">
      <c r="B5" s="6" t="s">
        <v>16</v>
      </c>
      <c r="C5" s="2" t="s">
        <v>31</v>
      </c>
      <c r="D5" s="13">
        <v>180</v>
      </c>
    </row>
    <row r="6" spans="2:11">
      <c r="B6" s="6" t="s">
        <v>19</v>
      </c>
      <c r="C6" s="2" t="s">
        <v>32</v>
      </c>
      <c r="D6" s="13">
        <v>250</v>
      </c>
    </row>
    <row r="7" spans="2:11">
      <c r="B7" s="8" t="s">
        <v>25</v>
      </c>
      <c r="C7" s="9" t="s">
        <v>33</v>
      </c>
      <c r="D7" s="14">
        <v>300</v>
      </c>
    </row>
    <row r="11" spans="2:11">
      <c r="K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2026-02-10T18:06:58Z</dcterms:created>
  <dcterms:modified xsi:type="dcterms:W3CDTF">2026-02-13T18:16:30Z</dcterms:modified>
  <cp:category/>
  <cp:contentStatus/>
</cp:coreProperties>
</file>