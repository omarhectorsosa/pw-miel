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6EAEAF2-C154-4D90-AE84-FE06298BD7F1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20" i="3"/>
  <c r="B19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3" i="1"/>
  <c r="E4" i="1"/>
  <c r="E5" i="1"/>
  <c r="E6" i="1"/>
  <c r="E7" i="1"/>
  <c r="E8" i="1"/>
  <c r="E9" i="1"/>
  <c r="A18" i="1" s="1"/>
  <c r="E10" i="1"/>
  <c r="E11" i="1"/>
  <c r="E12" i="1"/>
  <c r="E13" i="1"/>
  <c r="E14" i="1"/>
  <c r="E15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tc={FB158F1A-DC3A-4A69-BA7E-425AC3A4CABC}</author>
  </authors>
  <commentList>
    <comment ref="B30" authorId="0" shapeId="0" xr:uid="{FB158F1A-DC3A-4A69-BA7E-425AC3A4C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Aclaración: Estos últimos no están realizados como el modelo terminado porque fue realizado en base a lo explicado en la clase teórica. </t>
      </text>
    </comment>
  </commentList>
</comments>
</file>

<file path=xl/sharedStrings.xml><?xml version="1.0" encoding="utf-8"?>
<sst xmlns="http://schemas.openxmlformats.org/spreadsheetml/2006/main" count="120" uniqueCount="31">
  <si>
    <t>CÓDIGO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</si>
  <si>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</si>
  <si>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</si>
  <si>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</si>
  <si>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</si>
  <si>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</si>
  <si>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</si>
  <si>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</si>
  <si>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</si>
  <si>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</si>
  <si>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</si>
  <si>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</si>
  <si>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Frezeer carga superior</t>
  </si>
  <si>
    <t>R</t>
  </si>
  <si>
    <t>Radio onda corta</t>
  </si>
  <si>
    <t>Radio con CD y mp3</t>
  </si>
  <si>
    <t>Radio AM/FM 3 bandas</t>
  </si>
  <si>
    <t xml:space="preserve">C 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</si>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</sst>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DOZO PORCO ELISA" id="{E5D5B607-E0AE-431C-AD52-F2D027F9A2BA}" userId="S::ecardozoporco@alumno.unlam.edu.ar::85a68cc3-d999-4650-8010-aee1073d84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6-02-18T18:46:17.93" personId="{E5D5B607-E0AE-431C-AD52-F2D027F9A2BA}" id="{FB158F1A-DC3A-4A69-BA7E-425AC3A4CABC}">
    <text xml:space="preserve">Aclaración: Estos últimos no están realizados como el modelo terminado porque fue realizado en base a lo explicado en la clase teórica.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23" workbookViewId="0">
      <selection activeCell="H33" sqref="H33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17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DMAX(A1:E15,D1,A25:A26)</f>
        <v>8500</v>
      </c>
    </row>
    <row r="18" spans="1:5">
      <c r="A18">
        <f>DSUM(A1:E15,E1,A30:C31)</f>
        <v>6000</v>
      </c>
    </row>
    <row r="19" spans="1:5">
      <c r="A19">
        <f>DGET(A1:E15,D1,B35:B36)</f>
        <v>1800</v>
      </c>
    </row>
    <row r="20" spans="1:5">
      <c r="A20">
        <f>DCOUNTA(A1:E15,B1,A40:C41)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4</v>
      </c>
      <c r="C30" s="3" t="s">
        <v>2</v>
      </c>
    </row>
    <row r="31" spans="1:5">
      <c r="A31" t="s">
        <v>13</v>
      </c>
      <c r="C31" t="s">
        <v>25</v>
      </c>
    </row>
    <row r="35" spans="1:3">
      <c r="B35" s="3" t="s">
        <v>1</v>
      </c>
    </row>
    <row r="36" spans="1:3">
      <c r="B36" t="s">
        <v>14</v>
      </c>
    </row>
    <row r="40" spans="1:3">
      <c r="A40" s="3" t="s">
        <v>2</v>
      </c>
      <c r="B40" s="3" t="s">
        <v>1</v>
      </c>
      <c r="C40" s="3" t="s">
        <v>2</v>
      </c>
    </row>
    <row r="41" spans="1:3">
      <c r="A41" t="s">
        <v>26</v>
      </c>
      <c r="C41" t="s">
        <v>27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812D-DE2B-4DE7-8146-5D856BA15F76}">
  <dimension ref="A1:E15"/>
  <sheetViews>
    <sheetView workbookViewId="0">
      <selection activeCell="H8" sqref="H8"/>
    </sheetView>
  </sheetViews>
  <sheetFormatPr defaultRowHeight="15"/>
  <cols>
    <col min="2" max="2" width="26.7109375" customWidth="1"/>
    <col min="4" max="4" width="12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23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17</v>
      </c>
      <c r="B4" s="1" t="s">
        <v>18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19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24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20</v>
      </c>
      <c r="B14" s="1" t="s">
        <v>22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20</v>
      </c>
      <c r="B15" s="1" t="s">
        <v>21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FEB4-6F4A-40AC-AFD0-B234BC78DCC6}">
  <dimension ref="A1:E20"/>
  <sheetViews>
    <sheetView tabSelected="1" workbookViewId="0">
      <selection activeCell="B19" sqref="B19"/>
    </sheetView>
  </sheetViews>
  <sheetFormatPr defaultRowHeight="15"/>
  <cols>
    <col min="1" max="1" width="19.5703125" bestFit="1" customWidth="1"/>
    <col min="2" max="2" width="26.5703125" customWidth="1"/>
    <col min="3" max="3" width="10.140625" customWidth="1"/>
    <col min="4" max="4" width="12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17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8" spans="1:2">
      <c r="A18" s="4" t="s">
        <v>28</v>
      </c>
      <c r="B18">
        <f>SUMIFS(E2:E15,A2:A15,"C*",C2:C15,"&lt;10")</f>
        <v>23600</v>
      </c>
    </row>
    <row r="19" spans="1:2">
      <c r="A19" s="4" t="s">
        <v>29</v>
      </c>
      <c r="B19">
        <f>COUNTIFS(A2:A15,"R",D2:D15,"&gt;2000",C2:C15,"&lt;4")</f>
        <v>1</v>
      </c>
    </row>
    <row r="20" spans="1:2">
      <c r="A20" s="4" t="s">
        <v>30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2026-02-17T05:07:09Z</dcterms:created>
  <dcterms:modified xsi:type="dcterms:W3CDTF">2026-02-18T18:48:31Z</dcterms:modified>
  <cp:category/>
  <cp:contentStatus/>
</cp:coreProperties>
</file>