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99" documentId="11_9248B46DC1CBB2E3ED7FF6F9903E8C1851038383" xr6:coauthVersionLast="47" xr6:coauthVersionMax="47" xr10:uidLastSave="{EEB94C6E-6DC3-45F3-BDB0-A07FABFA664D}"/>
  <bookViews>
    <workbookView xWindow="240" yWindow="105" windowWidth="14805" windowHeight="8010" xr2:uid="{00000000-000D-0000-FFFF-FFFF00000000}"/>
  </bookViews>
  <sheets>
    <sheet name="Inscripciones" sheetId="3" r:id="rId1"/>
    <sheet name="Materias" sheetId="2" r:id="rId2"/>
    <sheet name="Departamento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H10" i="3"/>
  <c r="H9" i="3"/>
  <c r="H5" i="3"/>
  <c r="H13" i="3"/>
  <c r="H8" i="3"/>
  <c r="H7" i="3"/>
  <c r="H6" i="3"/>
  <c r="H16" i="3"/>
  <c r="H15" i="3"/>
  <c r="H14" i="3"/>
  <c r="H12" i="3"/>
  <c r="G11" i="3"/>
  <c r="G10" i="3"/>
  <c r="G9" i="3"/>
  <c r="G5" i="3"/>
  <c r="G13" i="3"/>
  <c r="G8" i="3"/>
  <c r="G7" i="3"/>
  <c r="G6" i="3"/>
  <c r="G16" i="3"/>
  <c r="G15" i="3"/>
  <c r="G14" i="3"/>
  <c r="G12" i="3"/>
  <c r="F11" i="3"/>
  <c r="F10" i="3"/>
  <c r="F9" i="3"/>
  <c r="F5" i="3"/>
  <c r="F13" i="3"/>
  <c r="F8" i="3"/>
  <c r="F7" i="3"/>
  <c r="F6" i="3"/>
  <c r="F16" i="3"/>
  <c r="F15" i="3"/>
  <c r="F14" i="3"/>
  <c r="F12" i="3"/>
  <c r="C11" i="3"/>
  <c r="I11" i="3" s="1"/>
  <c r="C10" i="3"/>
  <c r="I10" i="3" s="1"/>
  <c r="C9" i="3"/>
  <c r="I9" i="3" s="1"/>
  <c r="C5" i="3"/>
  <c r="I5" i="3" s="1"/>
  <c r="C13" i="3"/>
  <c r="I13" i="3" s="1"/>
  <c r="C8" i="3"/>
  <c r="I8" i="3" s="1"/>
  <c r="C7" i="3"/>
  <c r="I7" i="3" s="1"/>
  <c r="C6" i="3"/>
  <c r="I6" i="3" s="1"/>
  <c r="C16" i="3"/>
  <c r="I16" i="3" s="1"/>
  <c r="C15" i="3"/>
  <c r="I15" i="3" s="1"/>
  <c r="C14" i="3"/>
  <c r="I14" i="3" s="1"/>
  <c r="C12" i="3"/>
  <c r="I12" i="3" s="1"/>
  <c r="B11" i="3"/>
  <c r="B10" i="3"/>
  <c r="B9" i="3"/>
  <c r="B5" i="3"/>
  <c r="B13" i="3"/>
  <c r="B8" i="3"/>
  <c r="B7" i="3"/>
  <c r="B6" i="3"/>
  <c r="B16" i="3"/>
  <c r="B15" i="3"/>
  <c r="B14" i="3"/>
  <c r="B12" i="3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<sst xmlns="http://schemas.openxmlformats.org/spreadsheetml/2006/main" count="48" uniqueCount="33">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</sst>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0A85-9DCA-4128-96C3-2AA8552E11FB}">
  <dimension ref="A2:I16"/>
  <sheetViews>
    <sheetView tabSelected="1" workbookViewId="0"/>
  </sheetViews>
  <sheetFormatPr defaultRowHeight="15"/>
  <cols>
    <col min="1" max="1" width="11.140625" customWidth="1"/>
    <col min="2" max="2" width="19.5703125" bestFit="1" customWidth="1"/>
    <col min="3" max="3" width="22.7109375" customWidth="1"/>
    <col min="4" max="4" width="13.85546875" customWidth="1"/>
    <col min="5" max="5" width="15.5703125" customWidth="1"/>
    <col min="6" max="6" width="9.5703125" bestFit="1" customWidth="1"/>
    <col min="7" max="7" width="11.7109375" customWidth="1"/>
    <col min="8" max="8" width="13" customWidth="1"/>
    <col min="9" max="9" width="14.5703125" customWidth="1"/>
  </cols>
  <sheetData>
    <row r="2" spans="1:9">
      <c r="A2" s="5" t="s">
        <v>0</v>
      </c>
      <c r="B2" s="5"/>
      <c r="C2" s="5"/>
      <c r="D2" s="5"/>
      <c r="E2" s="5"/>
      <c r="F2" s="5"/>
      <c r="G2" s="5"/>
      <c r="H2" s="5"/>
      <c r="I2" s="5"/>
    </row>
    <row r="4" spans="1:9" s="1" customFormat="1" ht="30.7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>
      <c r="A5">
        <v>1010</v>
      </c>
      <c r="B5" t="str">
        <f>VLOOKUP(A5,Materias!B:D,2,0)</f>
        <v>Derecho Público</v>
      </c>
      <c r="C5" s="1" t="str">
        <f>VLOOKUP(VLOOKUP(A5,Materias!B:D,3,0),Departamentos!B:D,2,0)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2">
        <f>D5+ROUNDUP(E5/10,0)</f>
        <v>42590</v>
      </c>
      <c r="I5">
        <f>VLOOKUP(C5,Departamentos!C:D,2,0)*E5</f>
        <v>44440</v>
      </c>
    </row>
    <row r="6" spans="1:9">
      <c r="A6">
        <v>1280</v>
      </c>
      <c r="B6" t="str">
        <f>VLOOKUP(A6,Materias!B:D,2,0)</f>
        <v>Derecho Penal</v>
      </c>
      <c r="C6" s="1" t="str">
        <f>VLOOKUP(VLOOKUP(A6,Materias!B:D,3,0),Departamentos!B:D,2,0)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2">
        <f>D6+ROUNDUP(E6/10,0)</f>
        <v>42589</v>
      </c>
      <c r="I6">
        <f>VLOOKUP(C6,Departamentos!C:D,2,0)*E6</f>
        <v>36960</v>
      </c>
    </row>
    <row r="7" spans="1:9">
      <c r="A7">
        <v>1420</v>
      </c>
      <c r="B7" t="str">
        <f>VLOOKUP(A7,Materias!B:D,2,0)</f>
        <v>Derecho Civil</v>
      </c>
      <c r="C7" s="1" t="str">
        <f>VLOOKUP(VLOOKUP(A7,Materias!B:D,3,0),Departamentos!B:D,2,0)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2">
        <f>D7+ROUNDUP(E7/10,0)</f>
        <v>42578</v>
      </c>
      <c r="I7">
        <f>VLOOKUP(C7,Departamentos!C:D,2,0)*E7</f>
        <v>29920</v>
      </c>
    </row>
    <row r="8" spans="1:9">
      <c r="A8">
        <v>1300</v>
      </c>
      <c r="B8" t="str">
        <f>VLOOKUP(A8,Materias!B:D,2,0)</f>
        <v>Inglés I</v>
      </c>
      <c r="C8" s="1" t="str">
        <f>VLOOKUP(VLOOKUP(A8,Materias!B:D,3,0),Departamentos!B:D,2,0)</f>
        <v>Económicas</v>
      </c>
      <c r="D8" s="2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2">
        <f>D8+ROUNDUP(E8/10,0)</f>
        <v>42600</v>
      </c>
      <c r="I8">
        <f>VLOOKUP(C8,Departamentos!C:D,2,0)*E8</f>
        <v>53750</v>
      </c>
    </row>
    <row r="9" spans="1:9">
      <c r="A9">
        <v>1250</v>
      </c>
      <c r="B9" t="str">
        <f>VLOOKUP(A9,Materias!B:D,2,0)</f>
        <v>Computación II</v>
      </c>
      <c r="C9" s="1" t="str">
        <f>VLOOKUP(VLOOKUP(A9,Materias!B:D,3,0),Departamentos!B:D,2,0)</f>
        <v>Económicas</v>
      </c>
      <c r="D9" s="2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2">
        <f>D9+ROUNDUP(E9/10,0)</f>
        <v>42578</v>
      </c>
      <c r="I9">
        <f>VLOOKUP(C9,Departamentos!C:D,2,0)*E9</f>
        <v>49000</v>
      </c>
    </row>
    <row r="10" spans="1:9">
      <c r="A10">
        <v>1150</v>
      </c>
      <c r="B10" t="str">
        <f>VLOOKUP(A10,Materias!B:D,2,0)</f>
        <v>Computación I</v>
      </c>
      <c r="C10" s="1" t="str">
        <f>VLOOKUP(VLOOKUP(A10,Materias!B:D,3,0),Departamentos!B:D,2,0)</f>
        <v>Económicas</v>
      </c>
      <c r="D10" s="2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2">
        <f>D10+ROUNDUP(E10/10,0)</f>
        <v>42580</v>
      </c>
      <c r="I10">
        <f>VLOOKUP(C10,Departamentos!C:D,2,0)*E10</f>
        <v>43750</v>
      </c>
    </row>
    <row r="11" spans="1:9">
      <c r="A11">
        <v>1200</v>
      </c>
      <c r="B11" t="str">
        <f>VLOOKUP(A11,Materias!B:D,2,0)</f>
        <v>Estadística</v>
      </c>
      <c r="C11" s="1" t="str">
        <f>VLOOKUP(VLOOKUP(A11,Materias!B:D,3,0),Departamentos!B:D,2,0)</f>
        <v>Económicas</v>
      </c>
      <c r="D11" s="2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2">
        <f>D11+ROUNDUP(E11/10,0)</f>
        <v>42587</v>
      </c>
      <c r="I11">
        <f>VLOOKUP(C11,Departamentos!C:D,2,0)*E11</f>
        <v>39500</v>
      </c>
    </row>
    <row r="12" spans="1:9">
      <c r="A12">
        <v>1120</v>
      </c>
      <c r="B12" t="str">
        <f>VLOOKUP(A12,Materias!B:D,2,0)</f>
        <v>Análisis Matemático</v>
      </c>
      <c r="C12" s="1" t="str">
        <f>VLOOKUP(VLOOKUP(A12,Materias!B:D,3,0),Departamentos!B:D,2,0)</f>
        <v>Ingeniería</v>
      </c>
      <c r="D12" s="2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2">
        <f>D12+ROUNDUP(E12/10,0)</f>
        <v>42590</v>
      </c>
      <c r="I12">
        <f>VLOOKUP(C12,Departamentos!C:D,2,0)*E12</f>
        <v>41760</v>
      </c>
    </row>
    <row r="13" spans="1:9">
      <c r="A13">
        <v>1080</v>
      </c>
      <c r="B13" t="str">
        <f>VLOOKUP(A13,Materias!B:D,2,0)</f>
        <v>Sistemas Operativos I</v>
      </c>
      <c r="C13" s="1" t="str">
        <f>VLOOKUP(VLOOKUP(A13,Materias!B:D,3,0),Departamentos!B:D,2,0)</f>
        <v>Ingeniería</v>
      </c>
      <c r="D13" s="2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2">
        <f>D13+ROUNDUP(E13/10,0)</f>
        <v>42589</v>
      </c>
      <c r="I13">
        <f>VLOOKUP(C13,Departamentos!C:D,2,0)*E13</f>
        <v>25380</v>
      </c>
    </row>
    <row r="14" spans="1:9">
      <c r="A14">
        <v>1860</v>
      </c>
      <c r="B14" t="str">
        <f>VLOOKUP(A14,Materias!B:D,2,0)</f>
        <v>Enfermería</v>
      </c>
      <c r="C14" s="1" t="str">
        <f>VLOOKUP(VLOOKUP(A14,Materias!B:D,3,0),Departamentos!B:D,2,0)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2">
        <f>D14+ROUNDUP(E14/10,0)</f>
        <v>42593</v>
      </c>
      <c r="I14">
        <f>VLOOKUP(C14,Departamentos!C:D,2,0)*E14</f>
        <v>51300</v>
      </c>
    </row>
    <row r="15" spans="1:9">
      <c r="A15">
        <v>1850</v>
      </c>
      <c r="B15" t="str">
        <f>VLOOKUP(A15,Materias!B:D,2,0)</f>
        <v>Biología I</v>
      </c>
      <c r="C15" s="1" t="str">
        <f>VLOOKUP(VLOOKUP(A15,Materias!B:D,3,0),Departamentos!B:D,2,0)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2">
        <f>D15+ROUNDUP(E15/10,0)</f>
        <v>42591</v>
      </c>
      <c r="I15">
        <f>VLOOKUP(C15,Departamentos!C:D,2,0)*E15</f>
        <v>51000</v>
      </c>
    </row>
    <row r="16" spans="1:9">
      <c r="A16">
        <v>1825</v>
      </c>
      <c r="B16" t="str">
        <f>VLOOKUP(A16,Materias!B:D,2,0)</f>
        <v>Anatomía I</v>
      </c>
      <c r="C16" s="1" t="str">
        <f>VLOOKUP(VLOOKUP(A16,Materias!B:D,3,0),Departamentos!B:D,2,0)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2">
        <f>D16+ROUNDUP(E16/10,0)</f>
        <v>42590</v>
      </c>
      <c r="I16">
        <f>VLOOKUP(C16,Departamentos!C:D,2,0)*E16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63D4-045B-4204-A731-79FCF11F9F39}">
  <dimension ref="B3:D15"/>
  <sheetViews>
    <sheetView workbookViewId="0">
      <selection activeCell="D3" sqref="D3"/>
    </sheetView>
  </sheetViews>
  <sheetFormatPr defaultRowHeight="15"/>
  <cols>
    <col min="2" max="2" width="13.140625" customWidth="1"/>
    <col min="3" max="3" width="19.5703125" bestFit="1" customWidth="1"/>
    <col min="4" max="4" width="15.7109375" customWidth="1"/>
  </cols>
  <sheetData>
    <row r="3" spans="2:4" ht="30.75">
      <c r="B3" s="4" t="s">
        <v>10</v>
      </c>
      <c r="C3" s="4" t="s">
        <v>2</v>
      </c>
      <c r="D3" s="4" t="s">
        <v>11</v>
      </c>
    </row>
    <row r="4" spans="2:4">
      <c r="B4" s="3">
        <v>1010</v>
      </c>
      <c r="C4" s="3" t="s">
        <v>12</v>
      </c>
      <c r="D4" s="3" t="s">
        <v>13</v>
      </c>
    </row>
    <row r="5" spans="2:4">
      <c r="B5" s="3">
        <v>1280</v>
      </c>
      <c r="C5" s="3" t="s">
        <v>14</v>
      </c>
      <c r="D5" s="3" t="s">
        <v>13</v>
      </c>
    </row>
    <row r="6" spans="2:4">
      <c r="B6" s="3">
        <v>1420</v>
      </c>
      <c r="C6" s="3" t="s">
        <v>15</v>
      </c>
      <c r="D6" s="3" t="s">
        <v>13</v>
      </c>
    </row>
    <row r="7" spans="2:4">
      <c r="B7" s="3">
        <v>1080</v>
      </c>
      <c r="C7" s="3" t="s">
        <v>16</v>
      </c>
      <c r="D7" s="3" t="s">
        <v>17</v>
      </c>
    </row>
    <row r="8" spans="2:4">
      <c r="B8" s="3">
        <v>1120</v>
      </c>
      <c r="C8" s="3" t="s">
        <v>18</v>
      </c>
      <c r="D8" s="3" t="s">
        <v>17</v>
      </c>
    </row>
    <row r="9" spans="2:4">
      <c r="B9" s="3">
        <v>1150</v>
      </c>
      <c r="C9" s="3" t="s">
        <v>19</v>
      </c>
      <c r="D9" s="3" t="s">
        <v>20</v>
      </c>
    </row>
    <row r="10" spans="2:4">
      <c r="B10" s="3">
        <v>1200</v>
      </c>
      <c r="C10" s="3" t="s">
        <v>21</v>
      </c>
      <c r="D10" s="3" t="s">
        <v>20</v>
      </c>
    </row>
    <row r="11" spans="2:4">
      <c r="B11" s="3">
        <v>1250</v>
      </c>
      <c r="C11" s="3" t="s">
        <v>22</v>
      </c>
      <c r="D11" s="3" t="s">
        <v>20</v>
      </c>
    </row>
    <row r="12" spans="2:4">
      <c r="B12" s="3">
        <v>1300</v>
      </c>
      <c r="C12" s="3" t="s">
        <v>23</v>
      </c>
      <c r="D12" s="3" t="s">
        <v>20</v>
      </c>
    </row>
    <row r="13" spans="2:4">
      <c r="B13" s="3">
        <v>1825</v>
      </c>
      <c r="C13" s="3" t="s">
        <v>24</v>
      </c>
      <c r="D13" s="3" t="s">
        <v>25</v>
      </c>
    </row>
    <row r="14" spans="2:4">
      <c r="B14" s="3">
        <v>1850</v>
      </c>
      <c r="C14" s="3" t="s">
        <v>26</v>
      </c>
      <c r="D14" s="3" t="s">
        <v>25</v>
      </c>
    </row>
    <row r="15" spans="2:4">
      <c r="B15" s="3">
        <v>1860</v>
      </c>
      <c r="C15" s="3" t="s">
        <v>27</v>
      </c>
      <c r="D15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7"/>
  <sheetViews>
    <sheetView workbookViewId="0">
      <selection activeCell="D6" sqref="D6"/>
    </sheetView>
  </sheetViews>
  <sheetFormatPr defaultRowHeight="15"/>
  <cols>
    <col min="2" max="2" width="13.140625" customWidth="1"/>
    <col min="3" max="3" width="13.5703125" bestFit="1" customWidth="1"/>
  </cols>
  <sheetData>
    <row r="3" spans="2:4" ht="45.75">
      <c r="B3" s="4" t="s">
        <v>11</v>
      </c>
      <c r="C3" s="4" t="s">
        <v>3</v>
      </c>
      <c r="D3" s="4" t="s">
        <v>28</v>
      </c>
    </row>
    <row r="4" spans="2:4">
      <c r="B4" s="3" t="s">
        <v>13</v>
      </c>
      <c r="C4" s="3" t="s">
        <v>29</v>
      </c>
      <c r="D4" s="3">
        <v>220</v>
      </c>
    </row>
    <row r="5" spans="2:4">
      <c r="B5" s="3" t="s">
        <v>17</v>
      </c>
      <c r="C5" s="3" t="s">
        <v>30</v>
      </c>
      <c r="D5" s="3">
        <v>180</v>
      </c>
    </row>
    <row r="6" spans="2:4">
      <c r="B6" s="3" t="s">
        <v>20</v>
      </c>
      <c r="C6" s="3" t="s">
        <v>31</v>
      </c>
      <c r="D6" s="3">
        <v>250</v>
      </c>
    </row>
    <row r="7" spans="2:4">
      <c r="B7" s="3" t="s">
        <v>25</v>
      </c>
      <c r="C7" s="3" t="s">
        <v>32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ARIEL CHURRUARIN</cp:lastModifiedBy>
  <cp:revision/>
  <dcterms:created xsi:type="dcterms:W3CDTF">2026-02-18T17:43:31Z</dcterms:created>
  <dcterms:modified xsi:type="dcterms:W3CDTF">2026-02-18T19:08:00Z</dcterms:modified>
  <cp:category/>
  <cp:contentStatus/>
</cp:coreProperties>
</file>