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72ED94B0-3512-4620-A966-CFB7C1442C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B12" i="1"/>
  <c r="B5" i="1"/>
  <c r="B14" i="1"/>
  <c r="B15" i="1"/>
  <c r="B16" i="1"/>
  <c r="B6" i="1"/>
  <c r="B7" i="1"/>
  <c r="B8" i="1"/>
  <c r="B13" i="1"/>
  <c r="B9" i="1"/>
  <c r="B10" i="1"/>
  <c r="B11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<sst xmlns="http://schemas.openxmlformats.org/spreadsheetml/2006/main" count="48" uniqueCount="33">
  <si>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</si>
  <si>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</si>
  <si>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</si>
  <si>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</si>
  <si>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</si>
  <si>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</si>
  <si>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</si>
  <si>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</si>
  <si>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Publicacion de las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</si>
  <si>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</si>
  <si>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</si>
  <si>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</si>
  <si>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</si>
  <si>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</si>
  <si>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</si>
  <si>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</si>
  <si>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</si>
  <si>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</si>
  <si>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</si>
  <si>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</si>
  <si>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</si>
  <si>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</si>
  <si>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</si>
  <si>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</si>
  <si>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</si>
  <si>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</si>
  <si>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</si>
  <si>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 xml:space="preserve">Enfermería 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</si>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</sst>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6"/>
  <sheetViews>
    <sheetView tabSelected="1" workbookViewId="0">
      <selection activeCell="A2" sqref="A2:I2"/>
    </sheetView>
  </sheetViews>
  <sheetFormatPr defaultRowHeight="15"/>
  <cols>
    <col min="2" max="2" width="19.5703125" customWidth="1"/>
    <col min="3" max="3" width="22.140625" customWidth="1"/>
    <col min="4" max="4" width="13.28515625" customWidth="1"/>
    <col min="5" max="5" width="11.28515625" customWidth="1"/>
    <col min="6" max="6" width="17.5703125" customWidth="1"/>
    <col min="7" max="7" width="10.85546875" customWidth="1"/>
    <col min="8" max="9" width="12.140625" customWidth="1"/>
  </cols>
  <sheetData>
    <row r="2" spans="1:10">
      <c r="A2" s="5" t="s">
        <v>0</v>
      </c>
      <c r="B2" s="5"/>
      <c r="C2" s="5"/>
      <c r="D2" s="5"/>
      <c r="E2" s="5"/>
      <c r="F2" s="5"/>
      <c r="G2" s="5"/>
      <c r="H2" s="5"/>
      <c r="I2" s="5"/>
    </row>
    <row r="4" spans="1:10" ht="45.7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2"/>
    </row>
    <row r="5" spans="1:10">
      <c r="A5">
        <v>1010</v>
      </c>
      <c r="B5" t="str">
        <f>VLOOKUP(A5,Materias!$B$3:$D$15,2,FALSE)</f>
        <v>Derecho Público</v>
      </c>
      <c r="C5" t="str">
        <f>VLOOKUP(VLOOKUP(A5,Materias!$B$3:$D$15,3,FALSE),Departamentos!$B$3:$D$7,2,FALSE)</f>
        <v>Derecho</v>
      </c>
      <c r="D5" s="1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1">
        <f>D5+ROUNDUP(E5/10,0)</f>
        <v>42590</v>
      </c>
      <c r="I5">
        <f>VLOOKUP(C5,Departamentos!$C$3:$D$7,2,FALSE)*E5</f>
        <v>44440</v>
      </c>
    </row>
    <row r="6" spans="1:10">
      <c r="A6">
        <v>1280</v>
      </c>
      <c r="B6" t="str">
        <f>VLOOKUP(A6,Materias!$B$3:$D$15,2,FALSE)</f>
        <v>Derecho Penal</v>
      </c>
      <c r="C6" t="str">
        <f>VLOOKUP(VLOOKUP(A6,Materias!$B$3:$D$15,3,FALSE),Departamentos!$B$3:$D$7,2,FALSE)</f>
        <v>Derecho</v>
      </c>
      <c r="D6" s="1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1">
        <f>D6+ROUNDUP(E6/10,0)</f>
        <v>42589</v>
      </c>
      <c r="I6">
        <f>VLOOKUP(C6,Departamentos!$C$3:$D$7,2,FALSE)*E6</f>
        <v>36960</v>
      </c>
    </row>
    <row r="7" spans="1:10">
      <c r="A7">
        <v>1420</v>
      </c>
      <c r="B7" t="str">
        <f>VLOOKUP(A7,Materias!$B$3:$D$15,2,FALSE)</f>
        <v>Derecho Civil</v>
      </c>
      <c r="C7" t="str">
        <f>VLOOKUP(VLOOKUP(A7,Materias!$B$3:$D$15,3,FALSE),Departamentos!$B$3:$D$7,2,FALSE)</f>
        <v>Derecho</v>
      </c>
      <c r="D7" s="1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1">
        <f>D7+ROUNDUP(E7/10,0)</f>
        <v>42578</v>
      </c>
      <c r="I7">
        <f>VLOOKUP(C7,Departamentos!$C$3:$D$7,2,FALSE)*E7</f>
        <v>29920</v>
      </c>
    </row>
    <row r="8" spans="1:10">
      <c r="A8">
        <v>1300</v>
      </c>
      <c r="B8" t="str">
        <f>VLOOKUP(A8,Materias!$B$3:$D$15,2,FALSE)</f>
        <v>Inglés I</v>
      </c>
      <c r="C8" t="str">
        <f>VLOOKUP(VLOOKUP(A8,Materias!$B$3:$D$15,3,FALSE),Departamentos!$B$3:$D$7,2,FALSE)</f>
        <v>Económicas</v>
      </c>
      <c r="D8" s="1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1">
        <f>D8+ROUNDUP(E8/10,0)</f>
        <v>42600</v>
      </c>
      <c r="I8">
        <f>VLOOKUP(C8,Departamentos!$C$3:$D$7,2,FALSE)*E8</f>
        <v>53750</v>
      </c>
    </row>
    <row r="9" spans="1:10">
      <c r="A9">
        <v>1250</v>
      </c>
      <c r="B9" t="str">
        <f>VLOOKUP(A9,Materias!$B$3:$D$15,2,FALSE)</f>
        <v>Computación II</v>
      </c>
      <c r="C9" t="str">
        <f>VLOOKUP(VLOOKUP(A9,Materias!$B$3:$D$15,3,FALSE),Departamentos!$B$3:$D$7,2,FALSE)</f>
        <v>Económicas</v>
      </c>
      <c r="D9" s="1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1">
        <f>D9+ROUNDUP(E9/10,0)</f>
        <v>42578</v>
      </c>
      <c r="I9">
        <f>VLOOKUP(C9,Departamentos!$C$3:$D$7,2,FALSE)*E9</f>
        <v>49000</v>
      </c>
    </row>
    <row r="10" spans="1:10">
      <c r="A10">
        <v>1150</v>
      </c>
      <c r="B10" t="str">
        <f>VLOOKUP(A10,Materias!$B$3:$D$15,2,FALSE)</f>
        <v>Computación I</v>
      </c>
      <c r="C10" t="str">
        <f>VLOOKUP(VLOOKUP(A10,Materias!$B$3:$D$15,3,FALSE),Departamentos!$B$3:$D$7,2,FALSE)</f>
        <v>Económicas</v>
      </c>
      <c r="D10" s="1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1">
        <f>D10+ROUNDUP(E10/10,0)</f>
        <v>42580</v>
      </c>
      <c r="I10">
        <f>VLOOKUP(C10,Departamentos!$C$3:$D$7,2,FALSE)*E10</f>
        <v>43750</v>
      </c>
    </row>
    <row r="11" spans="1:10">
      <c r="A11">
        <v>1200</v>
      </c>
      <c r="B11" t="str">
        <f>VLOOKUP(A11,Materias!$B$3:$D$15,2,FALSE)</f>
        <v>Estadística</v>
      </c>
      <c r="C11" t="str">
        <f>VLOOKUP(VLOOKUP(A11,Materias!$B$3:$D$15,3,FALSE),Departamentos!$B$3:$D$7,2,FALSE)</f>
        <v>Económicas</v>
      </c>
      <c r="D11" s="1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1">
        <f>D11+ROUNDUP(E11/10,0)</f>
        <v>42587</v>
      </c>
      <c r="I11">
        <f>VLOOKUP(C11,Departamentos!$C$3:$D$7,2,FALSE)*E11</f>
        <v>39500</v>
      </c>
    </row>
    <row r="12" spans="1:10">
      <c r="A12">
        <v>1120</v>
      </c>
      <c r="B12" t="str">
        <f>VLOOKUP(A12,Materias!$B$3:$D$15,2,FALSE)</f>
        <v>Análisis Matemático</v>
      </c>
      <c r="C12" t="str">
        <f>VLOOKUP(VLOOKUP(A12,Materias!$B$3:$D$15,3,FALSE),Departamentos!$B$3:$D$7,2,FALSE)</f>
        <v>Ingeniería</v>
      </c>
      <c r="D12" s="1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1">
        <f>D12+ROUNDUP(E12/10,0)</f>
        <v>42590</v>
      </c>
      <c r="I12">
        <f>VLOOKUP(C12,Departamentos!$C$3:$D$7,2,FALSE)*E12</f>
        <v>41760</v>
      </c>
    </row>
    <row r="13" spans="1:10">
      <c r="A13">
        <v>1080</v>
      </c>
      <c r="B13" t="str">
        <f>VLOOKUP(A13,Materias!$B$3:$D$15,2,FALSE)</f>
        <v>Sistemas Operativos I</v>
      </c>
      <c r="C13" t="str">
        <f>VLOOKUP(VLOOKUP(A13,Materias!$B$3:$D$15,3,FALSE),Departamentos!$B$3:$D$7,2,FALSE)</f>
        <v>Ingeniería</v>
      </c>
      <c r="D13" s="1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1">
        <f>D13+ROUNDUP(E13/10,0)</f>
        <v>42589</v>
      </c>
      <c r="I13">
        <f>VLOOKUP(C13,Departamentos!$C$3:$D$7,2,FALSE)*E13</f>
        <v>25380</v>
      </c>
    </row>
    <row r="14" spans="1:10">
      <c r="A14">
        <v>1860</v>
      </c>
      <c r="B14" t="str">
        <f>VLOOKUP(A14,Materias!$B$3:$D$15,2,FALSE)</f>
        <v xml:space="preserve">Enfermería </v>
      </c>
      <c r="C14" t="str">
        <f>VLOOKUP(VLOOKUP(A14,Materias!$B$3:$D$15,3,FALSE),Departamentos!$B$3:$D$7,2,FALSE)</f>
        <v>Medicina</v>
      </c>
      <c r="D14" s="1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1">
        <f>D14+ROUNDUP(E14/10,0)</f>
        <v>42593</v>
      </c>
      <c r="I14">
        <f>VLOOKUP(C14,Departamentos!$C$3:$D$7,2,FALSE)*E14</f>
        <v>51300</v>
      </c>
    </row>
    <row r="15" spans="1:10">
      <c r="A15">
        <v>1850</v>
      </c>
      <c r="B15" t="str">
        <f>VLOOKUP(A15,Materias!$B$3:$D$15,2,FALSE)</f>
        <v>Biología I</v>
      </c>
      <c r="C15" t="str">
        <f>VLOOKUP(VLOOKUP(A15,Materias!$B$3:$D$15,3,FALSE),Departamentos!$B$3:$D$7,2,FALSE)</f>
        <v>Medicina</v>
      </c>
      <c r="D15" s="1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1">
        <f>D15+ROUNDUP(E15/10,0)</f>
        <v>42591</v>
      </c>
      <c r="I15">
        <f>VLOOKUP(C15,Departamentos!$C$3:$D$7,2,FALSE)*E15</f>
        <v>51000</v>
      </c>
    </row>
    <row r="16" spans="1:10">
      <c r="A16">
        <v>1825</v>
      </c>
      <c r="B16" t="str">
        <f>VLOOKUP(A16,Materias!$B$3:$D$15,2,FALSE)</f>
        <v>Anatomía I</v>
      </c>
      <c r="C16" t="str">
        <f>VLOOKUP(VLOOKUP(A16,Materias!$B$3:$D$15,3,FALSE),Departamentos!$B$3:$D$7,2,FALSE)</f>
        <v>Medicina</v>
      </c>
      <c r="D16" s="1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1">
        <f>D16+ROUNDUP(E16/10,0)</f>
        <v>42590</v>
      </c>
      <c r="I16">
        <f>VLOOKUP(C16,Departamentos!$C$3:$D$7,2,FALSE)*E16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BD25-71B2-4A33-946F-56C812238E5B}">
  <dimension ref="B2:D15"/>
  <sheetViews>
    <sheetView workbookViewId="0">
      <selection activeCell="D10" sqref="D10"/>
    </sheetView>
  </sheetViews>
  <sheetFormatPr defaultRowHeight="15"/>
  <cols>
    <col min="2" max="2" width="11.5703125" customWidth="1"/>
    <col min="3" max="3" width="18.5703125" customWidth="1"/>
    <col min="4" max="4" width="14.42578125" customWidth="1"/>
  </cols>
  <sheetData>
    <row r="2" spans="2:4">
      <c r="B2" s="3"/>
      <c r="C2" s="3"/>
      <c r="D2" s="3"/>
    </row>
    <row r="3" spans="2:4" ht="60.75">
      <c r="B3" s="3" t="s">
        <v>10</v>
      </c>
      <c r="C3" s="3" t="s">
        <v>2</v>
      </c>
      <c r="D3" s="3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D9BB-D51A-45F5-AD7E-CD23CA315907}">
  <dimension ref="B3:D7"/>
  <sheetViews>
    <sheetView workbookViewId="0">
      <selection activeCell="B20" sqref="B20"/>
    </sheetView>
  </sheetViews>
  <sheetFormatPr defaultRowHeight="15"/>
  <cols>
    <col min="2" max="2" width="14.7109375" customWidth="1"/>
    <col min="3" max="3" width="13.5703125" customWidth="1"/>
  </cols>
  <sheetData>
    <row r="3" spans="2:4" ht="45.75">
      <c r="B3" s="3" t="s">
        <v>11</v>
      </c>
      <c r="C3" s="3" t="s">
        <v>3</v>
      </c>
      <c r="D3" s="3" t="s">
        <v>28</v>
      </c>
    </row>
    <row r="4" spans="2:4">
      <c r="B4" t="s">
        <v>13</v>
      </c>
      <c r="C4" t="s">
        <v>29</v>
      </c>
      <c r="D4">
        <v>220</v>
      </c>
    </row>
    <row r="5" spans="2:4">
      <c r="B5" t="s">
        <v>17</v>
      </c>
      <c r="C5" t="s">
        <v>30</v>
      </c>
      <c r="D5">
        <v>180</v>
      </c>
    </row>
    <row r="6" spans="2:4">
      <c r="B6" t="s">
        <v>20</v>
      </c>
      <c r="C6" t="s">
        <v>31</v>
      </c>
      <c r="D6">
        <v>250</v>
      </c>
    </row>
    <row r="7" spans="2:4">
      <c r="B7" t="s">
        <v>25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2026-02-07T20:04:03Z</dcterms:created>
  <dcterms:modified xsi:type="dcterms:W3CDTF">2026-02-07T22:34:33Z</dcterms:modified>
  <cp:category/>
  <cp:contentStatus/>
</cp:coreProperties>
</file>