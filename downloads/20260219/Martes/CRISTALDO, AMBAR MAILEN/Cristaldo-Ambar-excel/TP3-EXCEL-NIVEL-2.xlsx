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EA5B1D11-D42B-4419-82D3-1A541EF730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0" i="2"/>
  <c r="E4" i="2"/>
  <c r="E7" i="2"/>
  <c r="E8" i="2"/>
  <c r="E9" i="2"/>
  <c r="E5" i="2"/>
  <c r="E6" i="2"/>
  <c r="E12" i="2"/>
  <c r="E3" i="2"/>
  <c r="E11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<sst xmlns="http://schemas.openxmlformats.org/spreadsheetml/2006/main" count="129" uniqueCount="30">
  <si>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 xml:space="preserve">CÓDIGO 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</si>
  <si>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</si>
  <si>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</si>
  <si>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</si>
  <si>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</si>
  <si>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</si>
  <si>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</si>
  <si>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</si>
  <si>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</si>
  <si>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</si>
  <si>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</si>
  <si>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</si>
  <si>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 xml:space="preserve">Freezer carga superior </t>
  </si>
  <si>
    <t>R</t>
  </si>
  <si>
    <t>Radio onda corta</t>
  </si>
  <si>
    <t>Radio con CD y mp3</t>
  </si>
  <si>
    <t>Radio AM/FM 3 bandas</t>
  </si>
  <si>
    <t xml:space="preserve">Cocina industrial 6 hornallas </t>
  </si>
  <si>
    <t>Teevisor 42" LED 3D</t>
  </si>
  <si>
    <t>V</t>
  </si>
  <si>
    <t>Ventilador 25" giratorio</t>
  </si>
  <si>
    <t>Aire acondicionado F/C</t>
  </si>
  <si>
    <t xml:space="preserve">Anafe 2 hornallas </t>
  </si>
  <si>
    <t>TV portatil (12V)</t>
  </si>
  <si>
    <t xml:space="preserve">&gt;=5 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</si>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</sst>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1" xfId="0" applyFont="1" applyBorder="1"/>
    <xf numFmtId="16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2" workbookViewId="0">
      <selection activeCell="A40" sqref="A40:F40"/>
    </sheetView>
  </sheetViews>
  <sheetFormatPr defaultRowHeight="15"/>
  <cols>
    <col min="2" max="2" width="25.28515625" customWidth="1"/>
    <col min="3" max="3" width="11.7109375" customWidth="1"/>
    <col min="4" max="4" width="12" customWidth="1"/>
    <col min="5" max="5" width="13.28515625" customWidth="1"/>
    <col min="6" max="6" width="9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12</v>
      </c>
      <c r="D2" s="4">
        <v>6500</v>
      </c>
      <c r="E2" s="4">
        <f>D2*C2</f>
        <v>78000</v>
      </c>
    </row>
    <row r="3" spans="1:5">
      <c r="A3" s="3" t="s">
        <v>7</v>
      </c>
      <c r="B3" s="3" t="s">
        <v>8</v>
      </c>
      <c r="C3" s="3">
        <v>10</v>
      </c>
      <c r="D3" s="4">
        <v>4800</v>
      </c>
      <c r="E3" s="4">
        <f t="shared" ref="E3:E15" si="0">D3*C3</f>
        <v>48000</v>
      </c>
    </row>
    <row r="4" spans="1:5">
      <c r="A4" s="3" t="s">
        <v>5</v>
      </c>
      <c r="B4" s="3" t="s">
        <v>9</v>
      </c>
      <c r="C4" s="3">
        <v>8</v>
      </c>
      <c r="D4" s="4">
        <v>7800</v>
      </c>
      <c r="E4" s="4">
        <f t="shared" si="0"/>
        <v>62400</v>
      </c>
    </row>
    <row r="5" spans="1:5">
      <c r="A5" s="3" t="s">
        <v>10</v>
      </c>
      <c r="B5" s="3" t="s">
        <v>11</v>
      </c>
      <c r="C5" s="3">
        <v>7</v>
      </c>
      <c r="D5" s="4">
        <v>8500</v>
      </c>
      <c r="E5" s="4">
        <f t="shared" si="0"/>
        <v>59500</v>
      </c>
    </row>
    <row r="6" spans="1:5">
      <c r="A6" s="3" t="s">
        <v>10</v>
      </c>
      <c r="B6" s="3" t="s">
        <v>12</v>
      </c>
      <c r="C6" s="3">
        <v>4</v>
      </c>
      <c r="D6" s="4">
        <v>5000</v>
      </c>
      <c r="E6" s="4">
        <f t="shared" si="0"/>
        <v>20000</v>
      </c>
    </row>
    <row r="7" spans="1:5">
      <c r="A7" s="3" t="s">
        <v>13</v>
      </c>
      <c r="B7" s="3" t="s">
        <v>14</v>
      </c>
      <c r="C7" s="3">
        <v>4</v>
      </c>
      <c r="D7" s="4">
        <v>1800</v>
      </c>
      <c r="E7" s="4">
        <f t="shared" si="0"/>
        <v>7200</v>
      </c>
    </row>
    <row r="8" spans="1:5">
      <c r="A8" s="3" t="s">
        <v>13</v>
      </c>
      <c r="B8" s="3" t="s">
        <v>15</v>
      </c>
      <c r="C8" s="3">
        <v>3</v>
      </c>
      <c r="D8" s="4">
        <v>2600</v>
      </c>
      <c r="E8" s="4">
        <f t="shared" si="0"/>
        <v>7800</v>
      </c>
    </row>
    <row r="9" spans="1:5">
      <c r="A9" s="3" t="s">
        <v>13</v>
      </c>
      <c r="B9" s="3" t="s">
        <v>16</v>
      </c>
      <c r="C9" s="3">
        <v>5</v>
      </c>
      <c r="D9" s="4">
        <v>1200</v>
      </c>
      <c r="E9" s="4">
        <f t="shared" si="0"/>
        <v>6000</v>
      </c>
    </row>
    <row r="10" spans="1:5">
      <c r="A10" s="3" t="s">
        <v>7</v>
      </c>
      <c r="B10" s="3" t="s">
        <v>17</v>
      </c>
      <c r="C10" s="3">
        <v>2</v>
      </c>
      <c r="D10" s="4">
        <v>9400</v>
      </c>
      <c r="E10" s="4">
        <f t="shared" si="0"/>
        <v>18800</v>
      </c>
    </row>
    <row r="11" spans="1:5">
      <c r="A11" s="3" t="s">
        <v>5</v>
      </c>
      <c r="B11" s="3" t="s">
        <v>18</v>
      </c>
      <c r="C11" s="3">
        <v>8</v>
      </c>
      <c r="D11" s="4">
        <v>12000</v>
      </c>
      <c r="E11" s="4">
        <f t="shared" si="0"/>
        <v>96000</v>
      </c>
    </row>
    <row r="12" spans="1:5">
      <c r="A12" s="3" t="s">
        <v>19</v>
      </c>
      <c r="B12" s="3" t="s">
        <v>20</v>
      </c>
      <c r="C12" s="3">
        <v>6</v>
      </c>
      <c r="D12" s="4">
        <v>2500</v>
      </c>
      <c r="E12" s="4">
        <f t="shared" si="0"/>
        <v>15000</v>
      </c>
    </row>
    <row r="13" spans="1:5">
      <c r="A13" s="3" t="s">
        <v>19</v>
      </c>
      <c r="B13" s="3" t="s">
        <v>21</v>
      </c>
      <c r="C13" s="3">
        <v>6</v>
      </c>
      <c r="D13" s="4">
        <v>6500</v>
      </c>
      <c r="E13" s="4">
        <f t="shared" si="0"/>
        <v>39000</v>
      </c>
    </row>
    <row r="14" spans="1:5">
      <c r="A14" s="3" t="s">
        <v>7</v>
      </c>
      <c r="B14" s="3" t="s">
        <v>22</v>
      </c>
      <c r="C14" s="3">
        <v>2</v>
      </c>
      <c r="D14" s="4">
        <v>2400</v>
      </c>
      <c r="E14" s="4">
        <f t="shared" si="0"/>
        <v>4800</v>
      </c>
    </row>
    <row r="15" spans="1:5">
      <c r="A15" s="3" t="s">
        <v>5</v>
      </c>
      <c r="B15" s="3" t="s">
        <v>23</v>
      </c>
      <c r="C15" s="3">
        <v>1</v>
      </c>
      <c r="D15" s="4">
        <v>1800</v>
      </c>
      <c r="E15" s="4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92E4-FDE4-4602-A576-AF82FEDE140E}">
  <dimension ref="A1:E15"/>
  <sheetViews>
    <sheetView workbookViewId="0">
      <selection sqref="A1:E15"/>
    </sheetView>
  </sheetViews>
  <sheetFormatPr defaultRowHeight="15"/>
  <cols>
    <col min="2" max="2" width="27.28515625" customWidth="1"/>
    <col min="4" max="4" width="10.85546875" customWidth="1"/>
    <col min="5" max="5" width="11.425781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7</v>
      </c>
      <c r="B2" s="6" t="s">
        <v>22</v>
      </c>
      <c r="C2" s="6">
        <v>2</v>
      </c>
      <c r="D2" s="7">
        <v>2400</v>
      </c>
      <c r="E2" s="7">
        <f>D2*C2</f>
        <v>4800</v>
      </c>
    </row>
    <row r="3" spans="1:5">
      <c r="A3" s="6" t="s">
        <v>7</v>
      </c>
      <c r="B3" s="6" t="s">
        <v>8</v>
      </c>
      <c r="C3" s="6">
        <v>10</v>
      </c>
      <c r="D3" s="7">
        <v>4800</v>
      </c>
      <c r="E3" s="7">
        <f>D3*C3</f>
        <v>48000</v>
      </c>
    </row>
    <row r="4" spans="1:5">
      <c r="A4" s="6" t="s">
        <v>7</v>
      </c>
      <c r="B4" s="6" t="s">
        <v>17</v>
      </c>
      <c r="C4" s="6">
        <v>2</v>
      </c>
      <c r="D4" s="7">
        <v>9400</v>
      </c>
      <c r="E4" s="7">
        <f>D4*C4</f>
        <v>18800</v>
      </c>
    </row>
    <row r="5" spans="1:5">
      <c r="A5" s="6" t="s">
        <v>10</v>
      </c>
      <c r="B5" s="6" t="s">
        <v>12</v>
      </c>
      <c r="C5" s="6">
        <v>4</v>
      </c>
      <c r="D5" s="7">
        <v>5000</v>
      </c>
      <c r="E5" s="7">
        <f>D5*C5</f>
        <v>20000</v>
      </c>
    </row>
    <row r="6" spans="1:5">
      <c r="A6" s="6" t="s">
        <v>10</v>
      </c>
      <c r="B6" s="6" t="s">
        <v>11</v>
      </c>
      <c r="C6" s="6">
        <v>7</v>
      </c>
      <c r="D6" s="7">
        <v>8500</v>
      </c>
      <c r="E6" s="7">
        <f>D6*C6</f>
        <v>59500</v>
      </c>
    </row>
    <row r="7" spans="1:5">
      <c r="A7" s="6" t="s">
        <v>13</v>
      </c>
      <c r="B7" s="6" t="s">
        <v>16</v>
      </c>
      <c r="C7" s="6">
        <v>5</v>
      </c>
      <c r="D7" s="7">
        <v>1200</v>
      </c>
      <c r="E7" s="7">
        <f>D7*C7</f>
        <v>6000</v>
      </c>
    </row>
    <row r="8" spans="1:5">
      <c r="A8" s="6" t="s">
        <v>13</v>
      </c>
      <c r="B8" s="6" t="s">
        <v>15</v>
      </c>
      <c r="C8" s="6">
        <v>3</v>
      </c>
      <c r="D8" s="7">
        <v>2600</v>
      </c>
      <c r="E8" s="7">
        <f>D8*C8</f>
        <v>7800</v>
      </c>
    </row>
    <row r="9" spans="1:5">
      <c r="A9" s="6" t="s">
        <v>13</v>
      </c>
      <c r="B9" s="6" t="s">
        <v>14</v>
      </c>
      <c r="C9" s="6">
        <v>4</v>
      </c>
      <c r="D9" s="7">
        <v>1800</v>
      </c>
      <c r="E9" s="7">
        <f>D9*C9</f>
        <v>7200</v>
      </c>
    </row>
    <row r="10" spans="1:5">
      <c r="A10" s="6" t="s">
        <v>5</v>
      </c>
      <c r="B10" s="6" t="s">
        <v>18</v>
      </c>
      <c r="C10" s="6">
        <v>8</v>
      </c>
      <c r="D10" s="7">
        <v>12000</v>
      </c>
      <c r="E10" s="7">
        <f>D10*C10</f>
        <v>96000</v>
      </c>
    </row>
    <row r="11" spans="1:5">
      <c r="A11" s="6" t="s">
        <v>5</v>
      </c>
      <c r="B11" s="6" t="s">
        <v>6</v>
      </c>
      <c r="C11" s="6">
        <v>12</v>
      </c>
      <c r="D11" s="7">
        <v>6500</v>
      </c>
      <c r="E11" s="7">
        <f>D11*C11</f>
        <v>78000</v>
      </c>
    </row>
    <row r="12" spans="1:5">
      <c r="A12" s="6" t="s">
        <v>5</v>
      </c>
      <c r="B12" s="6" t="s">
        <v>9</v>
      </c>
      <c r="C12" s="6">
        <v>8</v>
      </c>
      <c r="D12" s="7">
        <v>7800</v>
      </c>
      <c r="E12" s="7">
        <f>D12*C12</f>
        <v>62400</v>
      </c>
    </row>
    <row r="13" spans="1:5">
      <c r="A13" s="6" t="s">
        <v>5</v>
      </c>
      <c r="B13" s="6" t="s">
        <v>23</v>
      </c>
      <c r="C13" s="6">
        <v>1</v>
      </c>
      <c r="D13" s="7">
        <v>1800</v>
      </c>
      <c r="E13" s="7">
        <f>D13*C13</f>
        <v>1800</v>
      </c>
    </row>
    <row r="14" spans="1:5">
      <c r="A14" s="6" t="s">
        <v>19</v>
      </c>
      <c r="B14" s="6" t="s">
        <v>21</v>
      </c>
      <c r="C14" s="6">
        <v>6</v>
      </c>
      <c r="D14" s="7">
        <v>6500</v>
      </c>
      <c r="E14" s="7">
        <f>D14*C14</f>
        <v>39000</v>
      </c>
    </row>
    <row r="15" spans="1:5">
      <c r="A15" s="6" t="s">
        <v>19</v>
      </c>
      <c r="B15" s="6" t="s">
        <v>20</v>
      </c>
      <c r="C15" s="6">
        <v>6</v>
      </c>
      <c r="D15" s="7">
        <v>2500</v>
      </c>
      <c r="E15" s="7">
        <f>D15*C15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8A15-6998-495B-AB8B-946EDE9275D8}">
  <dimension ref="A1:E20"/>
  <sheetViews>
    <sheetView workbookViewId="0">
      <selection activeCell="B19" sqref="B19"/>
    </sheetView>
  </sheetViews>
  <sheetFormatPr defaultRowHeight="15"/>
  <cols>
    <col min="1" max="1" width="20.28515625" customWidth="1"/>
    <col min="2" max="2" width="26" customWidth="1"/>
    <col min="4" max="4" width="11.42578125" customWidth="1"/>
    <col min="5" max="5" width="11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12</v>
      </c>
      <c r="D2" s="4">
        <v>6500</v>
      </c>
      <c r="E2" s="4">
        <f>D2*C2</f>
        <v>78000</v>
      </c>
    </row>
    <row r="3" spans="1:5">
      <c r="A3" s="3" t="s">
        <v>7</v>
      </c>
      <c r="B3" s="3" t="s">
        <v>8</v>
      </c>
      <c r="C3" s="3">
        <v>10</v>
      </c>
      <c r="D3" s="4">
        <v>4800</v>
      </c>
      <c r="E3" s="4">
        <f t="shared" ref="E3:E15" si="0">D3*C3</f>
        <v>48000</v>
      </c>
    </row>
    <row r="4" spans="1:5">
      <c r="A4" s="3" t="s">
        <v>5</v>
      </c>
      <c r="B4" s="3" t="s">
        <v>9</v>
      </c>
      <c r="C4" s="3">
        <v>8</v>
      </c>
      <c r="D4" s="4">
        <v>7800</v>
      </c>
      <c r="E4" s="4">
        <f t="shared" si="0"/>
        <v>62400</v>
      </c>
    </row>
    <row r="5" spans="1:5">
      <c r="A5" s="3" t="s">
        <v>10</v>
      </c>
      <c r="B5" s="3" t="s">
        <v>11</v>
      </c>
      <c r="C5" s="3">
        <v>7</v>
      </c>
      <c r="D5" s="4">
        <v>8500</v>
      </c>
      <c r="E5" s="4">
        <f t="shared" si="0"/>
        <v>59500</v>
      </c>
    </row>
    <row r="6" spans="1:5">
      <c r="A6" s="3" t="s">
        <v>10</v>
      </c>
      <c r="B6" s="3" t="s">
        <v>12</v>
      </c>
      <c r="C6" s="3">
        <v>4</v>
      </c>
      <c r="D6" s="4">
        <v>5000</v>
      </c>
      <c r="E6" s="4">
        <f t="shared" si="0"/>
        <v>20000</v>
      </c>
    </row>
    <row r="7" spans="1:5">
      <c r="A7" s="3" t="s">
        <v>13</v>
      </c>
      <c r="B7" s="3" t="s">
        <v>14</v>
      </c>
      <c r="C7" s="3">
        <v>4</v>
      </c>
      <c r="D7" s="4">
        <v>1800</v>
      </c>
      <c r="E7" s="4">
        <f t="shared" si="0"/>
        <v>7200</v>
      </c>
    </row>
    <row r="8" spans="1:5">
      <c r="A8" s="3" t="s">
        <v>13</v>
      </c>
      <c r="B8" s="3" t="s">
        <v>15</v>
      </c>
      <c r="C8" s="3">
        <v>3</v>
      </c>
      <c r="D8" s="4">
        <v>2600</v>
      </c>
      <c r="E8" s="4">
        <f t="shared" si="0"/>
        <v>7800</v>
      </c>
    </row>
    <row r="9" spans="1:5">
      <c r="A9" s="3" t="s">
        <v>13</v>
      </c>
      <c r="B9" s="3" t="s">
        <v>16</v>
      </c>
      <c r="C9" s="3">
        <v>5</v>
      </c>
      <c r="D9" s="4">
        <v>1200</v>
      </c>
      <c r="E9" s="4">
        <f t="shared" si="0"/>
        <v>6000</v>
      </c>
    </row>
    <row r="10" spans="1:5">
      <c r="A10" s="3" t="s">
        <v>7</v>
      </c>
      <c r="B10" s="3" t="s">
        <v>17</v>
      </c>
      <c r="C10" s="3">
        <v>2</v>
      </c>
      <c r="D10" s="4">
        <v>9400</v>
      </c>
      <c r="E10" s="4">
        <f t="shared" si="0"/>
        <v>18800</v>
      </c>
    </row>
    <row r="11" spans="1:5">
      <c r="A11" s="3" t="s">
        <v>5</v>
      </c>
      <c r="B11" s="3" t="s">
        <v>18</v>
      </c>
      <c r="C11" s="3">
        <v>8</v>
      </c>
      <c r="D11" s="4">
        <v>12000</v>
      </c>
      <c r="E11" s="4">
        <f t="shared" si="0"/>
        <v>96000</v>
      </c>
    </row>
    <row r="12" spans="1:5">
      <c r="A12" s="3" t="s">
        <v>19</v>
      </c>
      <c r="B12" s="3" t="s">
        <v>20</v>
      </c>
      <c r="C12" s="3">
        <v>6</v>
      </c>
      <c r="D12" s="4">
        <v>2500</v>
      </c>
      <c r="E12" s="4">
        <f t="shared" si="0"/>
        <v>15000</v>
      </c>
    </row>
    <row r="13" spans="1:5">
      <c r="A13" s="3" t="s">
        <v>19</v>
      </c>
      <c r="B13" s="3" t="s">
        <v>21</v>
      </c>
      <c r="C13" s="3">
        <v>6</v>
      </c>
      <c r="D13" s="4">
        <v>6500</v>
      </c>
      <c r="E13" s="4">
        <f t="shared" si="0"/>
        <v>39000</v>
      </c>
    </row>
    <row r="14" spans="1:5">
      <c r="A14" s="3" t="s">
        <v>7</v>
      </c>
      <c r="B14" s="3" t="s">
        <v>22</v>
      </c>
      <c r="C14" s="3">
        <v>2</v>
      </c>
      <c r="D14" s="4">
        <v>2400</v>
      </c>
      <c r="E14" s="4">
        <f t="shared" si="0"/>
        <v>4800</v>
      </c>
    </row>
    <row r="15" spans="1:5">
      <c r="A15" s="3" t="s">
        <v>5</v>
      </c>
      <c r="B15" s="3" t="s">
        <v>23</v>
      </c>
      <c r="C15" s="3">
        <v>1</v>
      </c>
      <c r="D15" s="4">
        <v>1800</v>
      </c>
      <c r="E15" s="4">
        <f t="shared" si="0"/>
        <v>1800</v>
      </c>
    </row>
    <row r="18" spans="1:2">
      <c r="A18" s="1" t="s">
        <v>27</v>
      </c>
      <c r="B18">
        <f>SUMIFS(E2:E15,A2:A15,"C",C2:C15,"&lt;10")</f>
        <v>23600</v>
      </c>
    </row>
    <row r="19" spans="1:2">
      <c r="A19" s="1" t="s">
        <v>28</v>
      </c>
      <c r="B19">
        <f>COUNTIFS(A2:A15,"R",D2:D15,"&gt;2000",C2:C15,"&lt;4")</f>
        <v>1</v>
      </c>
    </row>
    <row r="20" spans="1:2">
      <c r="A20" s="1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2026-02-08T02:59:16Z</dcterms:created>
  <dcterms:modified xsi:type="dcterms:W3CDTF">2026-02-09T11:56:23Z</dcterms:modified>
  <cp:category/>
  <cp:contentStatus/>
</cp:coreProperties>
</file>