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CF20903E-2F11-4608-BACB-779AFB4AE8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 " sheetId="1" r:id="rId1"/>
    <sheet name="Materias" sheetId="2" r:id="rId2"/>
    <sheet name="Departamentos" sheetId="3" r:id="rId3"/>
  </sheets>
  <definedNames>
    <definedName name="_xlnm._FilterDatabase" localSheetId="0" hidden="1">'Inscripciones '!$A$4:$I$16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5" i="1"/>
  <c r="I13" i="1"/>
  <c r="I8" i="1"/>
  <c r="I7" i="1"/>
  <c r="I6" i="1"/>
  <c r="I16" i="1"/>
  <c r="I15" i="1"/>
  <c r="I14" i="1"/>
  <c r="I12" i="1"/>
  <c r="C13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8" i="1"/>
  <c r="C7" i="1"/>
  <c r="C6" i="1"/>
  <c r="C16" i="1"/>
  <c r="C15" i="1"/>
  <c r="C14" i="1"/>
  <c r="C12" i="1"/>
  <c r="B12" i="1"/>
  <c r="B11" i="1"/>
  <c r="B10" i="1"/>
  <c r="B9" i="1"/>
  <c r="B5" i="1"/>
  <c r="B13" i="1"/>
  <c r="B8" i="1"/>
  <c r="B7" i="1"/>
  <c r="B6" i="1"/>
  <c r="B16" i="1"/>
  <c r="B15" i="1"/>
  <c r="B14" i="1"/>
</calcChain>
</file>

<file path=xl/sharedStrings.xml><?xml version="1.0" encoding="utf-8"?>
<sst xmlns="http://schemas.openxmlformats.org/spreadsheetml/2006/main" count="48" uniqueCount="32">
  <si>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</si>
  <si>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</si>
  <si>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</si>
  <si>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</si>
  <si>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</si>
  <si>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</si>
  <si>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</si>
  <si>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</si>
  <si>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 xml:space="preserve">Publicacion de las notas </t>
  </si>
  <si>
    <t>Importe de inscripcion</t>
  </si>
  <si>
    <t>Codigo de Departamento</t>
  </si>
  <si>
    <t>Derecho Publico</t>
  </si>
  <si>
    <t>A</t>
  </si>
  <si>
    <t>Derecho pPenal</t>
  </si>
  <si>
    <t>Derecho Civil</t>
  </si>
  <si>
    <t>Sistemas Operativos</t>
  </si>
  <si>
    <t>B</t>
  </si>
  <si>
    <t>Analisis Matematico</t>
  </si>
  <si>
    <t>Computacion I</t>
  </si>
  <si>
    <t xml:space="preserve">C </t>
  </si>
  <si>
    <t>Estadisticas</t>
  </si>
  <si>
    <t>Computacion II</t>
  </si>
  <si>
    <t>Ingles I</t>
  </si>
  <si>
    <t>Anatomia I</t>
  </si>
  <si>
    <t>D</t>
  </si>
  <si>
    <t xml:space="preserve">Biologia I </t>
  </si>
  <si>
    <t>Enfermeria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</si>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</sst>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workbookViewId="0">
      <selection activeCell="A2" sqref="A2:I2"/>
    </sheetView>
  </sheetViews>
  <sheetFormatPr defaultRowHeight="15"/>
  <cols>
    <col min="1" max="1" width="14.85546875" customWidth="1"/>
    <col min="2" max="2" width="19.5703125" style="1" customWidth="1"/>
    <col min="3" max="3" width="36.5703125" bestFit="1" customWidth="1"/>
    <col min="4" max="4" width="14.140625" style="1" customWidth="1"/>
    <col min="5" max="5" width="11.5703125" customWidth="1"/>
    <col min="6" max="6" width="13.42578125" style="1" customWidth="1"/>
    <col min="7" max="7" width="14" bestFit="1" customWidth="1"/>
    <col min="8" max="8" width="22.140625" bestFit="1" customWidth="1"/>
    <col min="9" max="9" width="9" customWidth="1"/>
  </cols>
  <sheetData>
    <row r="2" spans="1:9">
      <c r="A2" s="7" t="s">
        <v>0</v>
      </c>
      <c r="B2" s="7"/>
      <c r="C2" s="7"/>
      <c r="D2" s="7"/>
      <c r="E2" s="7"/>
      <c r="F2" s="7"/>
      <c r="G2" s="7"/>
      <c r="H2" s="7"/>
      <c r="I2" s="7"/>
    </row>
    <row r="4" spans="1:9" s="6" customFormat="1" ht="39" customHeight="1">
      <c r="A4" s="4" t="s">
        <v>1</v>
      </c>
      <c r="B4" s="4" t="s">
        <v>2</v>
      </c>
      <c r="C4" s="4" t="s">
        <v>3</v>
      </c>
      <c r="D4" s="5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5.75" customHeight="1">
      <c r="A5">
        <v>1010</v>
      </c>
      <c r="B5" s="1" t="str">
        <f>VLOOKUP(A5,Materias!$B$3:$D$15,2,0)</f>
        <v>Derecho Publico</v>
      </c>
      <c r="C5" s="1" t="str">
        <f>VLOOKUP(VLOOKUP(A5,Materias!$B$3:$D$15,3,0),Departamentos!$B$3:$D$7,2,0)</f>
        <v>Derecho</v>
      </c>
      <c r="D5" s="2">
        <v>46221</v>
      </c>
      <c r="E5">
        <v>202</v>
      </c>
      <c r="F5" s="1" t="str">
        <f>IF(E5&lt;150,"BAJA",IF(E5&lt;200,"NORMAL","ALTA"))</f>
        <v>ALTA</v>
      </c>
      <c r="G5">
        <f>IF(AND(E5&lt;180,D5&gt;DATE(2016,7,15)),805,812)</f>
        <v>812</v>
      </c>
      <c r="H5" s="3">
        <f>D5+ROUNDUP(E5/10,0)</f>
        <v>46242</v>
      </c>
      <c r="I5">
        <f>VLOOKUP(VLOOKUP(A5,Materias!$B$3:$D$15,3,0),Departamentos!$B$3:$D$7,3,0)</f>
        <v>220</v>
      </c>
    </row>
    <row r="6" spans="1:9">
      <c r="A6">
        <v>1280</v>
      </c>
      <c r="B6" s="1" t="str">
        <f>VLOOKUP(A6,Materias!$B$3:$D$15,2,0)</f>
        <v>Derecho pPenal</v>
      </c>
      <c r="C6" s="1" t="str">
        <f>VLOOKUP(VLOOKUP(A6,Materias!$B$3:$D$15,3,0),Departamentos!$B$3:$D$7,2,0)</f>
        <v>Derecho</v>
      </c>
      <c r="D6" s="2">
        <v>46224</v>
      </c>
      <c r="E6">
        <v>168</v>
      </c>
      <c r="F6" s="1" t="str">
        <f>IF(E6&lt;150,"BAJA",IF(E6&lt;200,"NORMAL","ALTA"))</f>
        <v>NORMAL</v>
      </c>
      <c r="G6">
        <f>IF(AND(E6&lt;180,D6&gt;DATE(2016,7,15)),805,812)</f>
        <v>805</v>
      </c>
      <c r="H6" s="3">
        <f>D6+ROUNDUP(E6/10,0)</f>
        <v>46241</v>
      </c>
      <c r="I6">
        <f>VLOOKUP(VLOOKUP(A6,Materias!$B$3:$D$15,3,0),Departamentos!$B$3:$D$7,3,0)</f>
        <v>220</v>
      </c>
    </row>
    <row r="7" spans="1:9">
      <c r="A7">
        <v>1420</v>
      </c>
      <c r="B7" s="1" t="str">
        <f>VLOOKUP(A7,Materias!$B$3:$D$15,2,0)</f>
        <v>Derecho Civil</v>
      </c>
      <c r="C7" s="1" t="str">
        <f>VLOOKUP(VLOOKUP(A7,Materias!$B$3:$D$15,3,0),Departamentos!$B$3:$D$7,2,0)</f>
        <v>Derecho</v>
      </c>
      <c r="D7" s="2">
        <v>46216</v>
      </c>
      <c r="E7">
        <v>136</v>
      </c>
      <c r="F7" s="1" t="str">
        <f>IF(E7&lt;150,"BAJA",IF(E7&lt;200,"NORMAL","ALTA"))</f>
        <v>BAJA</v>
      </c>
      <c r="G7">
        <f>IF(AND(E7&lt;180,D7&gt;DATE(2016,7,15)),805,812)</f>
        <v>805</v>
      </c>
      <c r="H7" s="3">
        <f>D7+ROUNDUP(E7/10,0)</f>
        <v>46230</v>
      </c>
      <c r="I7">
        <f>VLOOKUP(VLOOKUP(A7,Materias!$B$3:$D$15,3,0),Departamentos!$B$3:$D$7,3,0)</f>
        <v>220</v>
      </c>
    </row>
    <row r="8" spans="1:9">
      <c r="A8">
        <v>1300</v>
      </c>
      <c r="B8" s="1" t="str">
        <f>VLOOKUP(A8,Materias!$B$3:$D$15,2,0)</f>
        <v>Ingles I</v>
      </c>
      <c r="C8" s="1" t="str">
        <f>VLOOKUP(VLOOKUP(A8,Materias!$B$3:$D$15,3,0),Departamentos!$B$3:$D$7,2,0)</f>
        <v>Economicas</v>
      </c>
      <c r="D8" s="2">
        <v>46230</v>
      </c>
      <c r="E8">
        <v>215</v>
      </c>
      <c r="F8" s="1" t="str">
        <f>IF(E8&lt;150,"BAJA",IF(E8&lt;200,"NORMAL","ALTA"))</f>
        <v>ALTA</v>
      </c>
      <c r="G8">
        <f>IF(AND(E8&lt;180,D8&gt;DATE(2016,7,15)),805,812)</f>
        <v>812</v>
      </c>
      <c r="H8" s="3">
        <f>D8+ROUNDUP(E8/10,0)</f>
        <v>46252</v>
      </c>
      <c r="I8">
        <f>VLOOKUP(VLOOKUP(A8,Materias!$B$3:$D$15,3,0),Departamentos!$B$3:$D$7,3,0)</f>
        <v>250</v>
      </c>
    </row>
    <row r="9" spans="1:9">
      <c r="A9">
        <v>1250</v>
      </c>
      <c r="B9" s="1" t="str">
        <f>VLOOKUP(A9,Materias!$B$3:$D$15,2,0)</f>
        <v>Computacion II</v>
      </c>
      <c r="C9" s="1" t="str">
        <f>VLOOKUP(VLOOKUP(A9,Materias!$B$3:$D$15,3,0),Departamentos!$B$3:$D$7,2,0)</f>
        <v>Economicas</v>
      </c>
      <c r="D9" s="2">
        <v>46210</v>
      </c>
      <c r="E9">
        <v>196</v>
      </c>
      <c r="F9" s="1" t="str">
        <f>IF(E9&lt;150,"BAJA",IF(E9&lt;200,"NORMAL","ALTA"))</f>
        <v>NORMAL</v>
      </c>
      <c r="G9">
        <f>IF(AND(E9&lt;180,D9&gt;DATE(2016,7,15)),805,812)</f>
        <v>812</v>
      </c>
      <c r="H9" s="3">
        <f>D9+ROUNDUP(E9/10,0)</f>
        <v>46230</v>
      </c>
      <c r="I9">
        <f>VLOOKUP(VLOOKUP(A9,Materias!$B$3:$D$15,3,0),Departamentos!$B$3:$D$7,3,0)</f>
        <v>250</v>
      </c>
    </row>
    <row r="10" spans="1:9">
      <c r="A10">
        <v>1150</v>
      </c>
      <c r="B10" s="1" t="str">
        <f>VLOOKUP(A10,Materias!$B$3:$D$15,2,0)</f>
        <v>Computacion I</v>
      </c>
      <c r="C10" s="1" t="str">
        <f>VLOOKUP(VLOOKUP(A10,Materias!$B$3:$D$15,3,0),Departamentos!$B$3:$D$7,2,0)</f>
        <v>Economicas</v>
      </c>
      <c r="D10" s="2">
        <v>46214</v>
      </c>
      <c r="E10">
        <v>175</v>
      </c>
      <c r="F10" s="1" t="str">
        <f>IF(E10&lt;150,"BAJA",IF(E10&lt;200,"NORMAL","ALTA"))</f>
        <v>NORMAL</v>
      </c>
      <c r="G10">
        <f>IF(AND(E10&lt;180,D10&gt;DATE(2016,7,15)),805,812)</f>
        <v>805</v>
      </c>
      <c r="H10" s="3">
        <f>D10+ROUNDUP(E10/10,0)</f>
        <v>46232</v>
      </c>
      <c r="I10">
        <f>VLOOKUP(VLOOKUP(A10,Materias!$B$3:$D$15,3,0),Departamentos!$B$3:$D$7,3,0)</f>
        <v>250</v>
      </c>
    </row>
    <row r="11" spans="1:9">
      <c r="A11">
        <v>1200</v>
      </c>
      <c r="B11" s="1" t="str">
        <f>VLOOKUP(A11,Materias!$B$3:$D$15,2,0)</f>
        <v>Estadisticas</v>
      </c>
      <c r="C11" s="1" t="str">
        <f>VLOOKUP(VLOOKUP(A11,Materias!$B$3:$D$15,3,0),Departamentos!$B$3:$D$7,2,0)</f>
        <v>Economicas</v>
      </c>
      <c r="D11" s="2">
        <v>46223</v>
      </c>
      <c r="E11">
        <v>158</v>
      </c>
      <c r="F11" s="1" t="str">
        <f>IF(E11&lt;150,"BAJA",IF(E11&lt;200,"NORMAL","ALTA"))</f>
        <v>NORMAL</v>
      </c>
      <c r="G11">
        <f>IF(AND(E11&lt;180,D11&gt;DATE(2016,7,15)),805,812)</f>
        <v>805</v>
      </c>
      <c r="H11" s="3">
        <f>D11+ROUNDUP(E11/10,0)</f>
        <v>46239</v>
      </c>
      <c r="I11">
        <f>VLOOKUP(VLOOKUP(A11,Materias!$B$3:$D$15,3,0),Departamentos!$B$3:$D$7,3,0)</f>
        <v>250</v>
      </c>
    </row>
    <row r="12" spans="1:9">
      <c r="A12">
        <v>1120</v>
      </c>
      <c r="B12" s="1" t="str">
        <f>VLOOKUP(A12,Materias!$B$3:$D$15,2,0)</f>
        <v>Analisis Matematico</v>
      </c>
      <c r="C12" s="1" t="str">
        <f>VLOOKUP(VLOOKUP(A12,Materias!$B$3:$D$15,3,0),Departamentos!$B$3:$D$7,2,0)</f>
        <v>Ingenieria</v>
      </c>
      <c r="D12" s="2">
        <v>46218</v>
      </c>
      <c r="E12">
        <v>232</v>
      </c>
      <c r="F12" s="1" t="str">
        <f>IF(E12&lt;150,"BAJA",IF(E12&lt;200,"NORMAL","ALTA"))</f>
        <v>ALTA</v>
      </c>
      <c r="G12">
        <f>IF(AND(E12&lt;180,D12&gt;DATE(2016,7,15)),805,812)</f>
        <v>812</v>
      </c>
      <c r="H12" s="3">
        <f>D12+ROUNDUP(E12/10,0)</f>
        <v>46242</v>
      </c>
      <c r="I12">
        <f>VLOOKUP(VLOOKUP(A12,Materias!$B$3:$D$15,3,0),Departamentos!$B$3:$D$7,3,0)</f>
        <v>180</v>
      </c>
    </row>
    <row r="13" spans="1:9">
      <c r="A13">
        <v>1080</v>
      </c>
      <c r="B13" s="1" t="str">
        <f>VLOOKUP(A13,Materias!$B$3:$D$15,2,0)</f>
        <v>Sistemas Operativos</v>
      </c>
      <c r="C13" s="1" t="str">
        <f>VLOOKUP(VLOOKUP(A13,Materias!$B$3:$D$15,3,0),Departamentos!$B$3:$D$7,2,0)</f>
        <v>Ingenieria</v>
      </c>
      <c r="D13" s="2">
        <v>46226</v>
      </c>
      <c r="E13">
        <v>141</v>
      </c>
      <c r="F13" s="1" t="str">
        <f>IF(E13&lt;150,"BAJA",IF(E13&lt;200,"NORMAL","ALTA"))</f>
        <v>BAJA</v>
      </c>
      <c r="G13">
        <f>IF(AND(E13&lt;180,D13&gt;DATE(2016,7,15)),805,812)</f>
        <v>805</v>
      </c>
      <c r="H13" s="3">
        <f>D13+ROUNDUP(E13/10,0)</f>
        <v>46241</v>
      </c>
      <c r="I13">
        <f>VLOOKUP(VLOOKUP(A13,Materias!$B$3:$D$15,3,0),Departamentos!$B$3:$D$7,3,0)</f>
        <v>180</v>
      </c>
    </row>
    <row r="14" spans="1:9">
      <c r="A14">
        <v>1860</v>
      </c>
      <c r="B14" s="1" t="str">
        <f>VLOOKUP(A14,Materias!$B$3:$D$15,2,0)</f>
        <v>Enfermeria</v>
      </c>
      <c r="C14" s="1" t="str">
        <f>VLOOKUP(VLOOKUP(A14,Materias!$B$3:$D$15,3,0),Departamentos!$B$3:$D$7,2,0)</f>
        <v>Medicina</v>
      </c>
      <c r="D14" s="2">
        <v>46227</v>
      </c>
      <c r="E14">
        <v>171</v>
      </c>
      <c r="F14" s="1" t="str">
        <f>IF(E14&lt;150,"BAJA",IF(E14&lt;200,"NORMAL","ALTA"))</f>
        <v>NORMAL</v>
      </c>
      <c r="G14">
        <f>IF(AND(E14&lt;180,D14&gt;DATE(2016,7,15)),805,812)</f>
        <v>805</v>
      </c>
      <c r="H14" s="3">
        <f>D14+ROUNDUP(E14/10,0)</f>
        <v>46245</v>
      </c>
      <c r="I14">
        <f>VLOOKUP(VLOOKUP(A14,Materias!$B$3:$D$15,3,0),Departamentos!$B$3:$D$7,3,0)</f>
        <v>300</v>
      </c>
    </row>
    <row r="15" spans="1:9">
      <c r="A15">
        <v>1850</v>
      </c>
      <c r="B15" s="1" t="str">
        <f>VLOOKUP(A15,Materias!$B$3:$D$15,2,0)</f>
        <v xml:space="preserve">Biologia I </v>
      </c>
      <c r="C15" s="1" t="str">
        <f>VLOOKUP(VLOOKUP(A15,Materias!$B$3:$D$15,3,0),Departamentos!$B$3:$D$7,2,0)</f>
        <v>Medicina</v>
      </c>
      <c r="D15" s="2">
        <v>46226</v>
      </c>
      <c r="E15">
        <v>170</v>
      </c>
      <c r="F15" s="1" t="str">
        <f>IF(E15&lt;150,"BAJA",IF(E15&lt;200,"NORMAL","ALTA"))</f>
        <v>NORMAL</v>
      </c>
      <c r="G15">
        <f>IF(AND(E15&lt;180,D15&gt;DATE(2016,7,15)),805,812)</f>
        <v>805</v>
      </c>
      <c r="H15" s="3">
        <f>D15+ROUNDUP(E15/10,0)</f>
        <v>46243</v>
      </c>
      <c r="I15">
        <f>VLOOKUP(VLOOKUP(A15,Materias!$B$3:$D$15,3,0),Departamentos!$B$3:$D$7,3,0)</f>
        <v>300</v>
      </c>
    </row>
    <row r="16" spans="1:9">
      <c r="A16">
        <v>1825</v>
      </c>
      <c r="B16" s="1" t="str">
        <f>VLOOKUP(A16,Materias!$B$3:$D$15,2,0)</f>
        <v>Anatomia I</v>
      </c>
      <c r="C16" s="1" t="str">
        <f>VLOOKUP(VLOOKUP(A16,Materias!$B$3:$D$15,3,0),Departamentos!$B$3:$D$7,2,0)</f>
        <v>Medicina</v>
      </c>
      <c r="D16" s="2">
        <v>46225</v>
      </c>
      <c r="E16">
        <v>169</v>
      </c>
      <c r="F16" s="1" t="str">
        <f>IF(E16&lt;150,"BAJA",IF(E16&lt;200,"NORMAL","ALTA"))</f>
        <v>NORMAL</v>
      </c>
      <c r="G16">
        <f>IF(AND(E16&lt;180,D16&gt;DATE(2016,7,15)),805,812)</f>
        <v>805</v>
      </c>
      <c r="H16" s="3">
        <f>D16+ROUNDUP(E16/10,0)</f>
        <v>46242</v>
      </c>
      <c r="I16">
        <f>VLOOKUP(VLOOKUP(A16,Materias!$B$3:$D$15,3,0),Departamentos!$B$3:$D$7,3,0)</f>
        <v>300</v>
      </c>
    </row>
  </sheetData>
  <autoFilter ref="A4:I16" xr:uid="{00000000-0001-0000-0000-000000000000}">
    <sortState xmlns:xlrd2="http://schemas.microsoft.com/office/spreadsheetml/2017/richdata2" ref="A5:I16">
      <sortCondition ref="C5:C16"/>
      <sortCondition descending="1" ref="E5:E16"/>
    </sortState>
  </autoFilter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8B58-1BD0-4F4B-A9DE-999AF231990D}">
  <sheetPr>
    <tabColor rgb="FFFFC000"/>
  </sheetPr>
  <dimension ref="B3:D15"/>
  <sheetViews>
    <sheetView topLeftCell="A2" workbookViewId="0">
      <selection activeCell="D11" sqref="D9:D11"/>
    </sheetView>
  </sheetViews>
  <sheetFormatPr defaultRowHeight="15"/>
  <cols>
    <col min="2" max="2" width="16.85546875" bestFit="1" customWidth="1"/>
    <col min="3" max="3" width="18.7109375" bestFit="1" customWidth="1"/>
    <col min="4" max="4" width="22.85546875" bestFit="1" customWidth="1"/>
  </cols>
  <sheetData>
    <row r="3" spans="2:4">
      <c r="B3" t="s">
        <v>1</v>
      </c>
      <c r="C3" t="s">
        <v>2</v>
      </c>
      <c r="D3" t="s">
        <v>10</v>
      </c>
    </row>
    <row r="4" spans="2:4">
      <c r="B4">
        <v>1010</v>
      </c>
      <c r="C4" t="s">
        <v>11</v>
      </c>
      <c r="D4" t="s">
        <v>12</v>
      </c>
    </row>
    <row r="5" spans="2:4">
      <c r="B5">
        <v>1280</v>
      </c>
      <c r="C5" t="s">
        <v>13</v>
      </c>
      <c r="D5" t="s">
        <v>12</v>
      </c>
    </row>
    <row r="6" spans="2:4">
      <c r="B6">
        <v>1420</v>
      </c>
      <c r="C6" t="s">
        <v>14</v>
      </c>
      <c r="D6" t="s">
        <v>12</v>
      </c>
    </row>
    <row r="7" spans="2:4">
      <c r="B7">
        <v>1080</v>
      </c>
      <c r="C7" t="s">
        <v>15</v>
      </c>
      <c r="D7" t="s">
        <v>16</v>
      </c>
    </row>
    <row r="8" spans="2:4">
      <c r="B8">
        <v>1120</v>
      </c>
      <c r="C8" t="s">
        <v>17</v>
      </c>
      <c r="D8" t="s">
        <v>16</v>
      </c>
    </row>
    <row r="9" spans="2:4">
      <c r="B9">
        <v>1150</v>
      </c>
      <c r="C9" t="s">
        <v>18</v>
      </c>
      <c r="D9" t="s">
        <v>19</v>
      </c>
    </row>
    <row r="10" spans="2:4">
      <c r="B10">
        <v>1200</v>
      </c>
      <c r="C10" t="s">
        <v>20</v>
      </c>
      <c r="D10" t="s">
        <v>19</v>
      </c>
    </row>
    <row r="11" spans="2:4">
      <c r="B11">
        <v>1250</v>
      </c>
      <c r="C11" t="s">
        <v>21</v>
      </c>
      <c r="D11" t="s">
        <v>19</v>
      </c>
    </row>
    <row r="12" spans="2:4">
      <c r="B12">
        <v>1300</v>
      </c>
      <c r="C12" t="s">
        <v>22</v>
      </c>
      <c r="D12" t="s">
        <v>19</v>
      </c>
    </row>
    <row r="13" spans="2:4">
      <c r="B13">
        <v>1825</v>
      </c>
      <c r="C13" t="s">
        <v>23</v>
      </c>
      <c r="D13" t="s">
        <v>24</v>
      </c>
    </row>
    <row r="14" spans="2:4">
      <c r="B14">
        <v>1850</v>
      </c>
      <c r="C14" t="s">
        <v>25</v>
      </c>
      <c r="D14" t="s">
        <v>24</v>
      </c>
    </row>
    <row r="15" spans="2:4">
      <c r="B15">
        <v>1860</v>
      </c>
      <c r="C15" t="s">
        <v>26</v>
      </c>
      <c r="D1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7D2F-7775-4325-97C5-5ED0CC6DC009}">
  <sheetPr>
    <tabColor rgb="FF00B050"/>
  </sheetPr>
  <dimension ref="B3:D7"/>
  <sheetViews>
    <sheetView workbookViewId="0">
      <selection activeCell="B7" sqref="B7"/>
    </sheetView>
  </sheetViews>
  <sheetFormatPr defaultRowHeight="15"/>
  <cols>
    <col min="2" max="2" width="22.85546875" bestFit="1" customWidth="1"/>
    <col min="3" max="3" width="13.5703125" bestFit="1" customWidth="1"/>
  </cols>
  <sheetData>
    <row r="3" spans="2:4">
      <c r="B3" t="s">
        <v>10</v>
      </c>
      <c r="C3" t="s">
        <v>3</v>
      </c>
      <c r="D3" t="s">
        <v>27</v>
      </c>
    </row>
    <row r="4" spans="2:4">
      <c r="B4" t="s">
        <v>12</v>
      </c>
      <c r="C4" t="s">
        <v>28</v>
      </c>
      <c r="D4">
        <v>220</v>
      </c>
    </row>
    <row r="5" spans="2:4">
      <c r="B5" t="s">
        <v>16</v>
      </c>
      <c r="C5" t="s">
        <v>29</v>
      </c>
      <c r="D5">
        <v>180</v>
      </c>
    </row>
    <row r="6" spans="2:4">
      <c r="B6" t="s">
        <v>19</v>
      </c>
      <c r="C6" t="s">
        <v>30</v>
      </c>
      <c r="D6">
        <v>250</v>
      </c>
    </row>
    <row r="7" spans="2:4">
      <c r="B7" t="s">
        <v>24</v>
      </c>
      <c r="C7" t="s">
        <v>31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2026-02-17T16:14:41Z</dcterms:created>
  <dcterms:modified xsi:type="dcterms:W3CDTF">2026-02-17T19:29:12Z</dcterms:modified>
  <cp:category/>
  <cp:contentStatus/>
</cp:coreProperties>
</file>