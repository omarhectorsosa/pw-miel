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E8E39FBC-903B-4523-B599-8C2A647B80CB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3" l="1"/>
  <c r="A19" i="3"/>
  <c r="A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A20" i="1"/>
  <c r="E27" i="1"/>
  <c r="E26" i="1"/>
  <c r="E13" i="1"/>
  <c r="E14" i="1"/>
  <c r="E15" i="1"/>
  <c r="E3" i="1"/>
  <c r="E4" i="1"/>
  <c r="E5" i="1"/>
  <c r="A17" i="1" s="1"/>
  <c r="E6" i="1"/>
  <c r="E7" i="1"/>
  <c r="A19" i="1" s="1"/>
  <c r="E8" i="1"/>
  <c r="E9" i="1"/>
  <c r="A18" i="1" s="1"/>
  <c r="E10" i="1"/>
  <c r="E11" i="1"/>
  <c r="E12" i="1"/>
  <c r="E2" i="1"/>
</calcChain>
</file>

<file path=xl/sharedStrings.xml><?xml version="1.0" encoding="utf-8"?>
<sst xmlns="http://schemas.openxmlformats.org/spreadsheetml/2006/main" count="129" uniqueCount="27">
  <si>
    <t>CODIGO</t>
  </si>
  <si>
    <t>DESCRIPCION</t>
  </si>
  <si>
    <t>CANTIDAD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</si>
  <si>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</si>
  <si>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</si>
  <si>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</si>
  <si>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</si>
  <si>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</si>
  <si>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</si>
  <si>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</si>
  <si>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</si>
  <si>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 12 pies, con freezer</t>
  </si>
  <si>
    <t>Freezer carga superior</t>
  </si>
  <si>
    <t>R</t>
  </si>
  <si>
    <t>Radio onda corta</t>
  </si>
  <si>
    <t>Radio con CD y mp3</t>
  </si>
  <si>
    <t>Radio AM/FM 3 bandas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</si>
  <si>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</si>
  <si>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</si>
  <si>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</si>
  <si>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</si>
  <si>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</si>
  <si>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</si>
  <si>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portatil (12V)</t>
  </si>
  <si>
    <t>&gt;=5</t>
  </si>
  <si>
    <t>&gt;4</t>
  </si>
  <si>
    <t>&lt;9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</si>
</sst>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_-;\-[$$-2C0A]\ * #,##0_-;_-[$$-2C0A]\ * &quot;-&quot;_-;_-@_-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242424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opLeftCell="B1" workbookViewId="0">
      <selection sqref="A1:E15"/>
    </sheetView>
  </sheetViews>
  <sheetFormatPr defaultRowHeight="15"/>
  <cols>
    <col min="1" max="1" width="26.7109375" bestFit="1" customWidth="1"/>
    <col min="2" max="2" width="26.28515625" bestFit="1" customWidth="1"/>
    <col min="3" max="3" width="10.28515625" bestFit="1" customWidth="1"/>
    <col min="4" max="4" width="12.7109375" bestFit="1" customWidth="1"/>
    <col min="5" max="5" width="13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12</v>
      </c>
      <c r="D2" s="3">
        <v>6500</v>
      </c>
      <c r="E2" s="3">
        <f>C2*D2</f>
        <v>78000</v>
      </c>
    </row>
    <row r="3" spans="1:5">
      <c r="A3" s="2" t="s">
        <v>7</v>
      </c>
      <c r="B3" s="2" t="s">
        <v>8</v>
      </c>
      <c r="C3" s="2">
        <v>10</v>
      </c>
      <c r="D3" s="3">
        <v>4800</v>
      </c>
      <c r="E3" s="3">
        <f t="shared" ref="E3:E15" si="0">C3*D3</f>
        <v>48000</v>
      </c>
    </row>
    <row r="4" spans="1:5">
      <c r="A4" s="2" t="s">
        <v>5</v>
      </c>
      <c r="B4" s="2" t="s">
        <v>9</v>
      </c>
      <c r="C4" s="2">
        <v>8</v>
      </c>
      <c r="D4" s="3">
        <v>7800</v>
      </c>
      <c r="E4" s="3">
        <f t="shared" si="0"/>
        <v>62400</v>
      </c>
    </row>
    <row r="5" spans="1:5">
      <c r="A5" s="2" t="s">
        <v>10</v>
      </c>
      <c r="B5" s="2" t="s">
        <v>11</v>
      </c>
      <c r="C5" s="2">
        <v>7</v>
      </c>
      <c r="D5" s="3">
        <v>8500</v>
      </c>
      <c r="E5" s="3">
        <f t="shared" si="0"/>
        <v>59500</v>
      </c>
    </row>
    <row r="6" spans="1:5">
      <c r="A6" s="2" t="s">
        <v>10</v>
      </c>
      <c r="B6" s="2" t="s">
        <v>12</v>
      </c>
      <c r="C6" s="2">
        <v>4</v>
      </c>
      <c r="D6" s="3">
        <v>5000</v>
      </c>
      <c r="E6" s="3">
        <f t="shared" si="0"/>
        <v>20000</v>
      </c>
    </row>
    <row r="7" spans="1:5">
      <c r="A7" s="2" t="s">
        <v>13</v>
      </c>
      <c r="B7" s="2" t="s">
        <v>14</v>
      </c>
      <c r="C7" s="2">
        <v>4</v>
      </c>
      <c r="D7" s="3">
        <v>1800</v>
      </c>
      <c r="E7" s="3">
        <f t="shared" si="0"/>
        <v>7200</v>
      </c>
    </row>
    <row r="8" spans="1:5">
      <c r="A8" s="2" t="s">
        <v>13</v>
      </c>
      <c r="B8" s="2" t="s">
        <v>15</v>
      </c>
      <c r="C8" s="2">
        <v>3</v>
      </c>
      <c r="D8" s="3">
        <v>2600</v>
      </c>
      <c r="E8" s="3">
        <f t="shared" si="0"/>
        <v>7800</v>
      </c>
    </row>
    <row r="9" spans="1:5">
      <c r="A9" s="2" t="s">
        <v>13</v>
      </c>
      <c r="B9" s="2" t="s">
        <v>16</v>
      </c>
      <c r="C9" s="2">
        <v>5</v>
      </c>
      <c r="D9" s="3">
        <v>1200</v>
      </c>
      <c r="E9" s="3">
        <f t="shared" si="0"/>
        <v>6000</v>
      </c>
    </row>
    <row r="10" spans="1:5">
      <c r="A10" s="2" t="s">
        <v>7</v>
      </c>
      <c r="B10" s="2" t="s">
        <v>17</v>
      </c>
      <c r="C10" s="2">
        <v>2</v>
      </c>
      <c r="D10" s="3">
        <v>9400</v>
      </c>
      <c r="E10" s="3">
        <f t="shared" si="0"/>
        <v>18800</v>
      </c>
    </row>
    <row r="11" spans="1:5">
      <c r="A11" s="2" t="s">
        <v>5</v>
      </c>
      <c r="B11" s="2" t="s">
        <v>18</v>
      </c>
      <c r="C11" s="2">
        <v>8</v>
      </c>
      <c r="D11" s="3">
        <v>12000</v>
      </c>
      <c r="E11" s="3">
        <f t="shared" si="0"/>
        <v>96000</v>
      </c>
    </row>
    <row r="12" spans="1:5">
      <c r="A12" s="2" t="s">
        <v>19</v>
      </c>
      <c r="B12" s="2" t="s">
        <v>20</v>
      </c>
      <c r="C12" s="2">
        <v>6</v>
      </c>
      <c r="D12" s="3">
        <v>2500</v>
      </c>
      <c r="E12" s="3">
        <f t="shared" si="0"/>
        <v>15000</v>
      </c>
    </row>
    <row r="13" spans="1:5">
      <c r="A13" s="2" t="s">
        <v>19</v>
      </c>
      <c r="B13" s="2" t="s">
        <v>21</v>
      </c>
      <c r="C13" s="2">
        <v>6</v>
      </c>
      <c r="D13" s="3">
        <v>6500</v>
      </c>
      <c r="E13" s="3">
        <f t="shared" si="0"/>
        <v>39000</v>
      </c>
    </row>
    <row r="14" spans="1:5">
      <c r="A14" s="2" t="s">
        <v>7</v>
      </c>
      <c r="B14" s="2" t="s">
        <v>22</v>
      </c>
      <c r="C14" s="2">
        <v>2</v>
      </c>
      <c r="D14" s="3">
        <v>2400</v>
      </c>
      <c r="E14" s="3">
        <f t="shared" si="0"/>
        <v>4800</v>
      </c>
    </row>
    <row r="15" spans="1:5">
      <c r="A15" s="2" t="s">
        <v>5</v>
      </c>
      <c r="B15" s="2" t="s">
        <v>23</v>
      </c>
      <c r="C15" s="2">
        <v>1</v>
      </c>
      <c r="D15" s="3">
        <v>1800</v>
      </c>
      <c r="E15" s="3">
        <f t="shared" si="0"/>
        <v>1800</v>
      </c>
    </row>
    <row r="17" spans="1:5">
      <c r="A17">
        <f>DMAX(A1:E15,4,A25:E26)</f>
        <v>8500</v>
      </c>
    </row>
    <row r="18" spans="1:5">
      <c r="A18">
        <f>DSUM(A1:E15,5,A30:E31)</f>
        <v>6000</v>
      </c>
    </row>
    <row r="19" spans="1:5">
      <c r="A19">
        <f>DGET(A1:E15,3,A35:E36)</f>
        <v>4</v>
      </c>
    </row>
    <row r="20" spans="1:5">
      <c r="A20">
        <f>DCOUNTA(A1:E15,2,A40:F41)</f>
        <v>6</v>
      </c>
    </row>
    <row r="25" spans="1: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</row>
    <row r="26" spans="1:5">
      <c r="A26" s="2" t="s">
        <v>10</v>
      </c>
      <c r="B26" s="2" t="s">
        <v>11</v>
      </c>
      <c r="C26" s="2">
        <v>7</v>
      </c>
      <c r="D26" s="3">
        <v>8500</v>
      </c>
      <c r="E26" s="3">
        <f t="shared" ref="E26:E27" si="1">C26*D26</f>
        <v>59500</v>
      </c>
    </row>
    <row r="27" spans="1:5">
      <c r="A27" s="2" t="s">
        <v>10</v>
      </c>
      <c r="B27" s="2" t="s">
        <v>12</v>
      </c>
      <c r="C27" s="2">
        <v>4</v>
      </c>
      <c r="D27" s="3">
        <v>5000</v>
      </c>
      <c r="E27" s="3">
        <f t="shared" si="1"/>
        <v>20000</v>
      </c>
    </row>
    <row r="30" spans="1: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</row>
    <row r="31" spans="1:5">
      <c r="A31" s="2" t="s">
        <v>13</v>
      </c>
      <c r="B31" s="2"/>
      <c r="C31" s="2" t="s">
        <v>24</v>
      </c>
      <c r="D31" s="3"/>
      <c r="E31" s="3"/>
    </row>
    <row r="35" spans="1:6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</row>
    <row r="36" spans="1:6">
      <c r="A36" s="2"/>
      <c r="B36" s="2" t="s">
        <v>14</v>
      </c>
      <c r="C36" s="2"/>
      <c r="D36" s="3"/>
      <c r="E36" s="3"/>
    </row>
    <row r="40" spans="1:6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2</v>
      </c>
    </row>
    <row r="41" spans="1:6">
      <c r="C41" t="s">
        <v>25</v>
      </c>
      <c r="F41" t="s">
        <v>26</v>
      </c>
    </row>
  </sheetData>
  <autoFilter ref="A1:E1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428FA-A628-4640-9564-BD6B991BCFDD}">
  <dimension ref="A1:E15"/>
  <sheetViews>
    <sheetView tabSelected="1" topLeftCell="A12" workbookViewId="0">
      <selection activeCell="A2" sqref="A2:E15"/>
    </sheetView>
  </sheetViews>
  <sheetFormatPr defaultRowHeight="15"/>
  <cols>
    <col min="2" max="2" width="25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7</v>
      </c>
      <c r="B2" s="2" t="s">
        <v>21</v>
      </c>
      <c r="C2" s="2">
        <v>12</v>
      </c>
      <c r="D2" s="3">
        <v>6500</v>
      </c>
      <c r="E2" s="3">
        <f>C2*D2</f>
        <v>78000</v>
      </c>
    </row>
    <row r="3" spans="1:5">
      <c r="A3" s="2" t="s">
        <v>7</v>
      </c>
      <c r="B3" s="2" t="s">
        <v>22</v>
      </c>
      <c r="C3" s="2">
        <v>10</v>
      </c>
      <c r="D3" s="3">
        <v>4800</v>
      </c>
      <c r="E3" s="3">
        <f>C3*D3</f>
        <v>48000</v>
      </c>
    </row>
    <row r="4" spans="1:5">
      <c r="A4" s="2" t="s">
        <v>7</v>
      </c>
      <c r="B4" s="2" t="s">
        <v>8</v>
      </c>
      <c r="C4" s="2">
        <v>8</v>
      </c>
      <c r="D4" s="3">
        <v>7800</v>
      </c>
      <c r="E4" s="3">
        <f>C4*D4</f>
        <v>62400</v>
      </c>
    </row>
    <row r="5" spans="1:5">
      <c r="A5" s="2" t="s">
        <v>10</v>
      </c>
      <c r="B5" s="2" t="s">
        <v>17</v>
      </c>
      <c r="C5" s="2">
        <v>7</v>
      </c>
      <c r="D5" s="3">
        <v>8500</v>
      </c>
      <c r="E5" s="3">
        <f>C5*D5</f>
        <v>59500</v>
      </c>
    </row>
    <row r="6" spans="1:5">
      <c r="A6" s="2" t="s">
        <v>10</v>
      </c>
      <c r="B6" s="2" t="s">
        <v>12</v>
      </c>
      <c r="C6" s="2">
        <v>4</v>
      </c>
      <c r="D6" s="3">
        <v>5000</v>
      </c>
      <c r="E6" s="3">
        <f>C6*D6</f>
        <v>20000</v>
      </c>
    </row>
    <row r="7" spans="1:5">
      <c r="A7" s="2" t="s">
        <v>13</v>
      </c>
      <c r="B7" s="2" t="s">
        <v>11</v>
      </c>
      <c r="C7" s="2">
        <v>4</v>
      </c>
      <c r="D7" s="3">
        <v>1800</v>
      </c>
      <c r="E7" s="3">
        <f>C7*D7</f>
        <v>7200</v>
      </c>
    </row>
    <row r="8" spans="1:5">
      <c r="A8" s="2" t="s">
        <v>13</v>
      </c>
      <c r="B8" s="2" t="s">
        <v>16</v>
      </c>
      <c r="C8" s="2">
        <v>3</v>
      </c>
      <c r="D8" s="3">
        <v>2600</v>
      </c>
      <c r="E8" s="3">
        <f>C8*D8</f>
        <v>7800</v>
      </c>
    </row>
    <row r="9" spans="1:5">
      <c r="A9" s="2" t="s">
        <v>13</v>
      </c>
      <c r="B9" s="2" t="s">
        <v>15</v>
      </c>
      <c r="C9" s="2">
        <v>5</v>
      </c>
      <c r="D9" s="3">
        <v>1200</v>
      </c>
      <c r="E9" s="3">
        <f>C9*D9</f>
        <v>6000</v>
      </c>
    </row>
    <row r="10" spans="1:5">
      <c r="A10" s="2" t="s">
        <v>5</v>
      </c>
      <c r="B10" s="2" t="s">
        <v>14</v>
      </c>
      <c r="C10" s="2">
        <v>2</v>
      </c>
      <c r="D10" s="3">
        <v>9400</v>
      </c>
      <c r="E10" s="3">
        <f>C10*D10</f>
        <v>18800</v>
      </c>
    </row>
    <row r="11" spans="1:5">
      <c r="A11" s="2" t="s">
        <v>5</v>
      </c>
      <c r="B11" s="2" t="s">
        <v>6</v>
      </c>
      <c r="C11" s="2">
        <v>8</v>
      </c>
      <c r="D11" s="3">
        <v>12000</v>
      </c>
      <c r="E11" s="3">
        <f>C11*D11</f>
        <v>96000</v>
      </c>
    </row>
    <row r="12" spans="1:5">
      <c r="A12" s="2" t="s">
        <v>5</v>
      </c>
      <c r="B12" s="2" t="s">
        <v>9</v>
      </c>
      <c r="C12" s="2">
        <v>6</v>
      </c>
      <c r="D12" s="3">
        <v>2500</v>
      </c>
      <c r="E12" s="3">
        <f>C12*D12</f>
        <v>15000</v>
      </c>
    </row>
    <row r="13" spans="1:5">
      <c r="A13" s="2" t="s">
        <v>5</v>
      </c>
      <c r="B13" s="2" t="s">
        <v>18</v>
      </c>
      <c r="C13" s="2">
        <v>6</v>
      </c>
      <c r="D13" s="3">
        <v>6500</v>
      </c>
      <c r="E13" s="3">
        <f>C13*D13</f>
        <v>39000</v>
      </c>
    </row>
    <row r="14" spans="1:5">
      <c r="A14" s="2" t="s">
        <v>19</v>
      </c>
      <c r="B14" s="2" t="s">
        <v>23</v>
      </c>
      <c r="C14" s="2">
        <v>2</v>
      </c>
      <c r="D14" s="3">
        <v>2400</v>
      </c>
      <c r="E14" s="3">
        <f>C14*D14</f>
        <v>4800</v>
      </c>
    </row>
    <row r="15" spans="1:5">
      <c r="A15" s="2" t="s">
        <v>19</v>
      </c>
      <c r="B15" s="2" t="s">
        <v>20</v>
      </c>
      <c r="C15" s="2">
        <v>1</v>
      </c>
      <c r="D15" s="3">
        <v>1800</v>
      </c>
      <c r="E15" s="3">
        <f>C15*D15</f>
        <v>1800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5DE36-DF14-47AC-91EC-4FF08C6DBD67}">
  <dimension ref="A1:E20"/>
  <sheetViews>
    <sheetView topLeftCell="A10" workbookViewId="0">
      <selection activeCell="B18" sqref="B18"/>
    </sheetView>
  </sheetViews>
  <sheetFormatPr defaultRowHeight="15"/>
  <cols>
    <col min="1" max="1" width="36.5703125" bestFit="1" customWidth="1"/>
    <col min="2" max="2" width="34.140625" customWidth="1"/>
    <col min="4" max="4" width="13.5703125" customWidth="1"/>
    <col min="5" max="5" width="13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12</v>
      </c>
      <c r="D2" s="3">
        <v>6500</v>
      </c>
      <c r="E2" s="3">
        <f>C2*D2</f>
        <v>78000</v>
      </c>
    </row>
    <row r="3" spans="1:5">
      <c r="A3" s="2" t="s">
        <v>7</v>
      </c>
      <c r="B3" s="2" t="s">
        <v>8</v>
      </c>
      <c r="C3" s="2">
        <v>10</v>
      </c>
      <c r="D3" s="3">
        <v>4800</v>
      </c>
      <c r="E3" s="3">
        <f t="shared" ref="E3:E15" si="0">C3*D3</f>
        <v>48000</v>
      </c>
    </row>
    <row r="4" spans="1:5">
      <c r="A4" s="2" t="s">
        <v>5</v>
      </c>
      <c r="B4" s="2" t="s">
        <v>9</v>
      </c>
      <c r="C4" s="2">
        <v>8</v>
      </c>
      <c r="D4" s="3">
        <v>7800</v>
      </c>
      <c r="E4" s="3">
        <f t="shared" si="0"/>
        <v>62400</v>
      </c>
    </row>
    <row r="5" spans="1:5">
      <c r="A5" s="2" t="s">
        <v>10</v>
      </c>
      <c r="B5" s="2" t="s">
        <v>11</v>
      </c>
      <c r="C5" s="2">
        <v>7</v>
      </c>
      <c r="D5" s="3">
        <v>8500</v>
      </c>
      <c r="E5" s="3">
        <f t="shared" si="0"/>
        <v>59500</v>
      </c>
    </row>
    <row r="6" spans="1:5">
      <c r="A6" s="2" t="s">
        <v>10</v>
      </c>
      <c r="B6" s="2" t="s">
        <v>12</v>
      </c>
      <c r="C6" s="2">
        <v>4</v>
      </c>
      <c r="D6" s="3">
        <v>5000</v>
      </c>
      <c r="E6" s="3">
        <f t="shared" si="0"/>
        <v>20000</v>
      </c>
    </row>
    <row r="7" spans="1:5">
      <c r="A7" s="2" t="s">
        <v>13</v>
      </c>
      <c r="B7" s="2" t="s">
        <v>14</v>
      </c>
      <c r="C7" s="2">
        <v>4</v>
      </c>
      <c r="D7" s="3">
        <v>1800</v>
      </c>
      <c r="E7" s="3">
        <f t="shared" si="0"/>
        <v>7200</v>
      </c>
    </row>
    <row r="8" spans="1:5">
      <c r="A8" s="2" t="s">
        <v>13</v>
      </c>
      <c r="B8" s="2" t="s">
        <v>15</v>
      </c>
      <c r="C8" s="2">
        <v>3</v>
      </c>
      <c r="D8" s="3">
        <v>2600</v>
      </c>
      <c r="E8" s="3">
        <f t="shared" si="0"/>
        <v>7800</v>
      </c>
    </row>
    <row r="9" spans="1:5">
      <c r="A9" s="2" t="s">
        <v>13</v>
      </c>
      <c r="B9" s="2" t="s">
        <v>16</v>
      </c>
      <c r="C9" s="2">
        <v>5</v>
      </c>
      <c r="D9" s="3">
        <v>1200</v>
      </c>
      <c r="E9" s="3">
        <f t="shared" si="0"/>
        <v>6000</v>
      </c>
    </row>
    <row r="10" spans="1:5">
      <c r="A10" s="2" t="s">
        <v>7</v>
      </c>
      <c r="B10" s="2" t="s">
        <v>17</v>
      </c>
      <c r="C10" s="2">
        <v>2</v>
      </c>
      <c r="D10" s="3">
        <v>9400</v>
      </c>
      <c r="E10" s="3">
        <f t="shared" si="0"/>
        <v>18800</v>
      </c>
    </row>
    <row r="11" spans="1:5">
      <c r="A11" s="2" t="s">
        <v>5</v>
      </c>
      <c r="B11" s="2" t="s">
        <v>18</v>
      </c>
      <c r="C11" s="2">
        <v>8</v>
      </c>
      <c r="D11" s="3">
        <v>12000</v>
      </c>
      <c r="E11" s="3">
        <f t="shared" si="0"/>
        <v>96000</v>
      </c>
    </row>
    <row r="12" spans="1:5">
      <c r="A12" s="2" t="s">
        <v>19</v>
      </c>
      <c r="B12" s="2" t="s">
        <v>20</v>
      </c>
      <c r="C12" s="2">
        <v>6</v>
      </c>
      <c r="D12" s="3">
        <v>2500</v>
      </c>
      <c r="E12" s="3">
        <f t="shared" si="0"/>
        <v>15000</v>
      </c>
    </row>
    <row r="13" spans="1:5">
      <c r="A13" s="2" t="s">
        <v>19</v>
      </c>
      <c r="B13" s="2" t="s">
        <v>21</v>
      </c>
      <c r="C13" s="2">
        <v>6</v>
      </c>
      <c r="D13" s="3">
        <v>6500</v>
      </c>
      <c r="E13" s="3">
        <f t="shared" si="0"/>
        <v>39000</v>
      </c>
    </row>
    <row r="14" spans="1:5">
      <c r="A14" s="2" t="s">
        <v>7</v>
      </c>
      <c r="B14" s="2" t="s">
        <v>22</v>
      </c>
      <c r="C14" s="2">
        <v>2</v>
      </c>
      <c r="D14" s="3">
        <v>2400</v>
      </c>
      <c r="E14" s="3">
        <f t="shared" si="0"/>
        <v>4800</v>
      </c>
    </row>
    <row r="15" spans="1:5">
      <c r="A15" s="2" t="s">
        <v>5</v>
      </c>
      <c r="B15" s="2" t="s">
        <v>23</v>
      </c>
      <c r="C15" s="2">
        <v>1</v>
      </c>
      <c r="D15" s="3">
        <v>1800</v>
      </c>
      <c r="E15" s="3">
        <f t="shared" si="0"/>
        <v>1800</v>
      </c>
    </row>
    <row r="18" spans="1:1" ht="16.5" customHeight="1">
      <c r="A18" s="4">
        <f>SUMIFS(E2:E15,A2:A15,"C",C2:C15,"&lt;10")</f>
        <v>23600</v>
      </c>
    </row>
    <row r="19" spans="1:1" ht="20.25" customHeight="1">
      <c r="A19" s="5">
        <f>COUNTIFS(A2:A15,"R",D2:D15,"&lt;2000",C2:C15,"&lt;4")</f>
        <v>0</v>
      </c>
    </row>
    <row r="20" spans="1:1">
      <c r="A20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2026-02-17T21:11:27Z</dcterms:created>
  <dcterms:modified xsi:type="dcterms:W3CDTF">2026-02-19T00:13:07Z</dcterms:modified>
  <cp:category/>
  <cp:contentStatus/>
</cp:coreProperties>
</file>