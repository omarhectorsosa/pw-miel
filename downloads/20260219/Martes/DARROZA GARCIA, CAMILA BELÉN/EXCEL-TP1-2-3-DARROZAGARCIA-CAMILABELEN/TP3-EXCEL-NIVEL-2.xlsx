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B54CD0CF-6F15-4E18-92A5-0E33F00C0F9D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3" i="2"/>
  <c r="E14" i="2"/>
  <c r="E15" i="2"/>
  <c r="E12" i="2"/>
  <c r="E4" i="2"/>
  <c r="E7" i="2"/>
  <c r="E8" i="2"/>
  <c r="E9" i="2"/>
  <c r="E5" i="2"/>
  <c r="E6" i="2"/>
  <c r="E11" i="2"/>
  <c r="E2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<sst xmlns="http://schemas.openxmlformats.org/spreadsheetml/2006/main" count="132" uniqueCount="34">
  <si>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</si>
  <si>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</si>
  <si>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</si>
  <si>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</si>
  <si>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</si>
  <si>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</si>
  <si>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</si>
  <si>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</si>
  <si>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</si>
  <si>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</si>
  <si>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</si>
  <si>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Heladera12 pies, con freezer</t>
  </si>
  <si>
    <t>Freezer carga superior</t>
  </si>
  <si>
    <t>R</t>
  </si>
  <si>
    <t>Radio onda corta</t>
  </si>
  <si>
    <t>Radio con CD y mp3</t>
  </si>
  <si>
    <t>Radio AM/FM 3 bandas</t>
  </si>
  <si>
    <t xml:space="preserve">C 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</si>
  <si>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</si>
  <si>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</si>
  <si>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</si>
  <si>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</si>
  <si>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</si>
  <si>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</si>
  <si>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</si>
  <si>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</si>
  <si>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</si>
  <si>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</si>
  <si>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DARROZA GARCIA CAMILA BELÉN DNI:41543883</t>
  </si>
  <si>
    <t>DARROZA GARCIA CAMILA BELÉN DNI :41543883</t>
  </si>
  <si>
    <t>Importe Total</t>
  </si>
  <si>
    <t>Contar Productos</t>
  </si>
  <si>
    <t>Promedio de Importe</t>
  </si>
  <si>
    <t>DARROZA GARCIA CAMILA BELEN DNI:41543883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</si>
</sst>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A31" workbookViewId="0">
      <selection activeCell="A44" sqref="A44:F44"/>
    </sheetView>
  </sheetViews>
  <sheetFormatPr defaultRowHeight="15"/>
  <cols>
    <col min="1" max="1" width="12.28515625" customWidth="1"/>
    <col min="2" max="2" width="25.28515625" bestFit="1" customWidth="1"/>
    <col min="3" max="3" width="10" bestFit="1" customWidth="1"/>
    <col min="4" max="4" width="12.7109375" bestFit="1" customWidth="1"/>
    <col min="5" max="5" width="1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17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20</v>
      </c>
      <c r="B12" s="1" t="s">
        <v>21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20</v>
      </c>
      <c r="B13" s="1" t="s">
        <v>22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17</v>
      </c>
      <c r="B14" s="1" t="s">
        <v>23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24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DMAX(A1:E15,D1,A25:E26)</f>
        <v>8500</v>
      </c>
    </row>
    <row r="18" spans="1:5">
      <c r="A18">
        <f>DSUM(A1:E15,5,A30:E31)</f>
        <v>6000</v>
      </c>
    </row>
    <row r="19" spans="1:5">
      <c r="A19">
        <f>DGET(A1:E15,D1,A35:E36)</f>
        <v>1800</v>
      </c>
    </row>
    <row r="20" spans="1:5">
      <c r="A20">
        <f>DCOUNTA(A1:E15,B1,A40:F41)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10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13</v>
      </c>
      <c r="C31" t="s">
        <v>25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6">
      <c r="B36" t="s">
        <v>14</v>
      </c>
    </row>
    <row r="40" spans="1:6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2</v>
      </c>
    </row>
    <row r="41" spans="1:6">
      <c r="C41" t="s">
        <v>26</v>
      </c>
      <c r="F41" t="s">
        <v>27</v>
      </c>
    </row>
    <row r="44" spans="1:6">
      <c r="A44" s="8" t="s">
        <v>28</v>
      </c>
      <c r="B44" s="8"/>
      <c r="C44" s="8"/>
      <c r="D44" s="8"/>
      <c r="E44" s="8"/>
      <c r="F44" s="8"/>
    </row>
  </sheetData>
  <mergeCells count="1">
    <mergeCell ref="A44:F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AFC3-82D8-45E0-9F4D-A2E048AB68CC}">
  <dimension ref="A1:E19"/>
  <sheetViews>
    <sheetView tabSelected="1" topLeftCell="A8" workbookViewId="0">
      <selection activeCell="E24" sqref="E24"/>
    </sheetView>
  </sheetViews>
  <sheetFormatPr defaultRowHeight="15"/>
  <cols>
    <col min="2" max="2" width="24.85546875" customWidth="1"/>
    <col min="4" max="4" width="12" customWidth="1"/>
    <col min="5" max="5" width="15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8</v>
      </c>
      <c r="C2" s="1">
        <v>10</v>
      </c>
      <c r="D2" s="2">
        <v>4800</v>
      </c>
      <c r="E2" s="2">
        <f>PRODUCT(C2,D2)</f>
        <v>48000</v>
      </c>
    </row>
    <row r="3" spans="1:5">
      <c r="A3" s="1" t="s">
        <v>17</v>
      </c>
      <c r="B3" s="1" t="s">
        <v>23</v>
      </c>
      <c r="C3" s="1">
        <v>2</v>
      </c>
      <c r="D3" s="2">
        <v>2400</v>
      </c>
      <c r="E3" s="2">
        <f>PRODUCT(C3,D3)</f>
        <v>4800</v>
      </c>
    </row>
    <row r="4" spans="1:5">
      <c r="A4" s="1" t="s">
        <v>17</v>
      </c>
      <c r="B4" s="1" t="s">
        <v>18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19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24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20</v>
      </c>
      <c r="B14" s="1" t="s">
        <v>22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20</v>
      </c>
      <c r="B15" s="1" t="s">
        <v>21</v>
      </c>
      <c r="C15" s="1">
        <v>6</v>
      </c>
      <c r="D15" s="2">
        <v>2500</v>
      </c>
      <c r="E15" s="2">
        <f>PRODUCT(C15,D15)</f>
        <v>15000</v>
      </c>
    </row>
    <row r="19" spans="1:5">
      <c r="A19" s="8" t="s">
        <v>29</v>
      </c>
      <c r="B19" s="8"/>
      <c r="C19" s="8"/>
      <c r="D19" s="8"/>
      <c r="E19" s="8"/>
    </row>
  </sheetData>
  <sortState xmlns:xlrd2="http://schemas.microsoft.com/office/spreadsheetml/2017/richdata2" ref="A2:E15">
    <sortCondition ref="A2:A15"/>
    <sortCondition ref="B2:B15"/>
  </sortState>
  <mergeCells count="1">
    <mergeCell ref="A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3838-8976-41F5-A39B-B67F20745CE2}">
  <dimension ref="A1:F22"/>
  <sheetViews>
    <sheetView workbookViewId="0">
      <selection activeCell="H25" sqref="H25"/>
    </sheetView>
  </sheetViews>
  <sheetFormatPr defaultRowHeight="15"/>
  <cols>
    <col min="1" max="1" width="36.5703125" bestFit="1" customWidth="1"/>
    <col min="2" max="2" width="27.5703125" customWidth="1"/>
    <col min="4" max="4" width="13.7109375" customWidth="1"/>
    <col min="5" max="5" width="19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20</v>
      </c>
      <c r="B12" s="1" t="s">
        <v>21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20</v>
      </c>
      <c r="B13" s="1" t="s">
        <v>22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23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24</v>
      </c>
      <c r="C15" s="1">
        <v>1</v>
      </c>
      <c r="D15" s="2">
        <v>1800</v>
      </c>
      <c r="E15" s="2">
        <f t="shared" si="0"/>
        <v>1800</v>
      </c>
    </row>
    <row r="18" spans="1:6">
      <c r="A18" s="5" t="s">
        <v>30</v>
      </c>
      <c r="B18" s="6">
        <f>SUMIFS(E2:E15,A2:A15,"C",C2:C15,"&lt;10")</f>
        <v>23600</v>
      </c>
    </row>
    <row r="19" spans="1:6">
      <c r="A19" s="5" t="s">
        <v>31</v>
      </c>
      <c r="B19" s="7">
        <f>COUNTIFS(A2:A15,"R",D2:D15,"&gt;2000",C2:C15,"&lt;4")</f>
        <v>1</v>
      </c>
    </row>
    <row r="20" spans="1:6">
      <c r="A20" s="5" t="s">
        <v>32</v>
      </c>
      <c r="B20" s="6">
        <f>AVERAGEIFS(E2:E15,B2:B15,"T*",D2:D15,"&lt;12000")</f>
        <v>47400</v>
      </c>
    </row>
    <row r="22" spans="1:6" ht="29.25" customHeight="1">
      <c r="A22" s="4" t="s">
        <v>33</v>
      </c>
      <c r="B22" s="4"/>
      <c r="C22" s="4"/>
      <c r="D22" s="4"/>
      <c r="E22" s="4"/>
      <c r="F22" s="4"/>
    </row>
  </sheetData>
  <mergeCells count="1"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2026-02-18T16:32:49Z</dcterms:created>
  <dcterms:modified xsi:type="dcterms:W3CDTF">2026-02-19T13:30:46Z</dcterms:modified>
  <cp:category/>
  <cp:contentStatus/>
</cp:coreProperties>
</file>