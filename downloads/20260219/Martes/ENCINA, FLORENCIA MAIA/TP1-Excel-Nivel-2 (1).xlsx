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FBDFB48D-DA52-4A38-A3C1-6E5E27D366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11" i="1"/>
  <c r="H10" i="1"/>
  <c r="H9" i="1"/>
  <c r="H5" i="1"/>
  <c r="H13" i="1"/>
  <c r="H8" i="1"/>
  <c r="H7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2" i="1"/>
  <c r="I12" i="1" s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tc={0D5312A6-802D-4B93-8FDF-9B1120B90B28}</author>
  </authors>
  <commentList>
    <comment ref="J4" authorId="0" shapeId="0" xr:uid="{0D5312A6-802D-4B93-8FDF-9B1120B90B2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Computación II
Florencia Maia Encina
DNI: 41.853.542</t>
      </text>
    </comment>
  </commentList>
</comments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<sst xmlns="http://schemas.openxmlformats.org/spreadsheetml/2006/main" count="48" uniqueCount="33">
  <si>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</si>
  <si>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</si>
  <si>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</si>
  <si>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</si>
  <si>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</si>
  <si>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</si>
  <si>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</si>
  <si>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</si>
  <si>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Publicacion de las notas</t>
  </si>
  <si>
    <t>Importe de inscripciones</t>
  </si>
  <si>
    <t>Código de materia</t>
  </si>
  <si>
    <t>Código de Departamento</t>
  </si>
  <si>
    <t>Derecho Publico</t>
  </si>
  <si>
    <t>A</t>
  </si>
  <si>
    <t>Derecho Penal</t>
  </si>
  <si>
    <t>Derecho Civil</t>
  </si>
  <si>
    <t>Sistemas Operativos I</t>
  </si>
  <si>
    <t>B</t>
  </si>
  <si>
    <t>Análisis Matematico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</si>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</sst>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ENCIA MAIA ENCINA" id="{A12132CC-6EC8-4251-9AB7-AB2A8C056C7B}" userId="S::fencina542@alumno.unlam.edu.ar::b7fe68ba-fe79-417e-a54e-02bf73ae9e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6-02-18T22:32:38.47" personId="{A12132CC-6EC8-4251-9AB7-AB2A8C056C7B}" id="{0D5312A6-802D-4B93-8FDF-9B1120B90B28}">
    <text>Computación II
Florencia Maia Encina
DNI: 41.853.542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workbookViewId="0">
      <selection activeCell="D4" sqref="D4"/>
    </sheetView>
  </sheetViews>
  <sheetFormatPr defaultRowHeight="15"/>
  <cols>
    <col min="1" max="1" width="8" customWidth="1"/>
    <col min="2" max="2" width="20.42578125" customWidth="1"/>
    <col min="3" max="3" width="17.7109375" customWidth="1"/>
    <col min="4" max="4" width="13.85546875" customWidth="1"/>
    <col min="5" max="5" width="17.7109375" customWidth="1"/>
    <col min="6" max="6" width="9.5703125" bestFit="1" customWidth="1"/>
    <col min="7" max="7" width="12.140625" customWidth="1"/>
    <col min="8" max="8" width="21.5703125" bestFit="1" customWidth="1"/>
    <col min="9" max="9" width="19.140625" customWidth="1"/>
  </cols>
  <sheetData>
    <row r="2" spans="1:10">
      <c r="A2" s="2" t="s">
        <v>0</v>
      </c>
      <c r="B2" s="2"/>
      <c r="C2" s="2"/>
      <c r="D2" s="2"/>
      <c r="E2" s="2"/>
      <c r="F2" s="2"/>
      <c r="G2" s="2"/>
      <c r="H2" s="2"/>
      <c r="I2" s="2"/>
    </row>
    <row r="4" spans="1:10" s="1" customFormat="1" ht="48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10" ht="15.75" customHeight="1">
      <c r="A5" s="3">
        <v>1010</v>
      </c>
      <c r="B5" s="3" t="str">
        <f>VLOOKUP(A5,Materias!$B$3:$D$15,2,0)</f>
        <v>Derecho Publico</v>
      </c>
      <c r="C5" s="3" t="str">
        <f>VLOOKUP(VLOOKUP(A5,Materias!$B$3:$D$15,3,0),Departamentos!$B$3:$D$7,2,0)</f>
        <v>Derecho</v>
      </c>
      <c r="D5" s="5">
        <v>42569</v>
      </c>
      <c r="E5" s="3">
        <v>202</v>
      </c>
      <c r="F5" s="3" t="str">
        <f>IF(A5&lt;150,"BAJA",IF(E5&lt;200,"NORMAL","ALTA"))</f>
        <v>ALTA</v>
      </c>
      <c r="G5" s="3">
        <f>IF(AND(E5&lt;180,D5&gt;DATE(2016,7,15)),805,812)</f>
        <v>812</v>
      </c>
      <c r="H5" s="5">
        <f>D5+ROUNDUP(E5/10,0)</f>
        <v>42590</v>
      </c>
      <c r="I5" s="3">
        <f>VLOOKUP(C5,Departamentos!$C$3:$D$7,2,0)*E5</f>
        <v>44440</v>
      </c>
    </row>
    <row r="6" spans="1:10">
      <c r="A6" s="3">
        <v>1280</v>
      </c>
      <c r="B6" s="3" t="str">
        <f>VLOOKUP(A6,Materias!$B$3:$D$15,2,0)</f>
        <v>Derecho Penal</v>
      </c>
      <c r="C6" s="3" t="str">
        <f>VLOOKUP(VLOOKUP(A6,Materias!$B$3:$D$15,3,0),Departamentos!$B$3:$D$7,2,0)</f>
        <v>Derecho</v>
      </c>
      <c r="D6" s="5">
        <v>42572</v>
      </c>
      <c r="E6" s="3">
        <v>168</v>
      </c>
      <c r="F6" s="3" t="str">
        <f>IF(A6&lt;150,"BAJA",IF(E6&lt;200,"NORMAL","ALTA"))</f>
        <v>NORMAL</v>
      </c>
      <c r="G6" s="3">
        <f>IF(AND(E6&lt;180,D6&gt;DATE(2016,7,15)),805,812)</f>
        <v>805</v>
      </c>
      <c r="H6" s="5">
        <f>D6+ROUNDUP(E6/10,K83)</f>
        <v>42589</v>
      </c>
      <c r="I6" s="3">
        <f>VLOOKUP(C6,Departamentos!$C$3:$D$7,2,0)*E6</f>
        <v>36960</v>
      </c>
    </row>
    <row r="7" spans="1:10">
      <c r="A7" s="3">
        <v>1420</v>
      </c>
      <c r="B7" s="3" t="str">
        <f>VLOOKUP(A7,Materias!$B$3:$D$15,2,0)</f>
        <v>Derecho Civil</v>
      </c>
      <c r="C7" s="3" t="str">
        <f>VLOOKUP(VLOOKUP(A7,Materias!$B$3:$D$15,3,0),Departamentos!$B$3:$D$7,2,0)</f>
        <v>Derecho</v>
      </c>
      <c r="D7" s="5">
        <v>42564</v>
      </c>
      <c r="E7" s="3">
        <v>136</v>
      </c>
      <c r="F7" s="3" t="str">
        <f>IF(A7&lt;150,"BAJA",IF(E7&lt;200,"NORMAL","ALTA"))</f>
        <v>NORMAL</v>
      </c>
      <c r="G7" s="3">
        <f>IF(AND(E7&lt;180,D7&gt;DATE(2016,7,15)),805,812)</f>
        <v>812</v>
      </c>
      <c r="H7" s="5">
        <f>D7+ROUNDUP(E7/10,0)</f>
        <v>42578</v>
      </c>
      <c r="I7" s="3">
        <f>VLOOKUP(C7,Departamentos!$C$3:$D$7,2,0)*E7</f>
        <v>29920</v>
      </c>
    </row>
    <row r="8" spans="1:10">
      <c r="A8" s="3">
        <v>1300</v>
      </c>
      <c r="B8" s="3" t="str">
        <f>VLOOKUP(A8,Materias!$B$3:$D$15,2,0)</f>
        <v>Inglés I</v>
      </c>
      <c r="C8" s="3" t="str">
        <f>VLOOKUP(VLOOKUP(A8,Materias!$B$3:$D$15,3,0),Departamentos!$B$3:$D$7,2,0)</f>
        <v>Económicas</v>
      </c>
      <c r="D8" s="5">
        <v>42578</v>
      </c>
      <c r="E8" s="3">
        <v>215</v>
      </c>
      <c r="F8" s="3" t="str">
        <f>IF(A8&lt;150,"BAJA",IF(E8&lt;200,"NORMAL","ALTA"))</f>
        <v>ALTA</v>
      </c>
      <c r="G8" s="3">
        <f>IF(AND(E8&lt;180,D8&gt;DATE(2016,7,15)),805,812)</f>
        <v>812</v>
      </c>
      <c r="H8" s="5">
        <f>D8+ROUNDUP(E8/10,0)</f>
        <v>42600</v>
      </c>
      <c r="I8" s="3">
        <f>VLOOKUP(C8,Departamentos!$C$3:$D$7,2,0)*E8</f>
        <v>53750</v>
      </c>
    </row>
    <row r="9" spans="1:10">
      <c r="A9" s="3">
        <v>1250</v>
      </c>
      <c r="B9" s="3" t="str">
        <f>VLOOKUP(A9,Materias!$B$3:$D$15,2,0)</f>
        <v>Computación II</v>
      </c>
      <c r="C9" s="3" t="str">
        <f>VLOOKUP(VLOOKUP(A9,Materias!$B$3:$D$15,3,0),Departamentos!$B$3:$D$7,2,0)</f>
        <v>Económicas</v>
      </c>
      <c r="D9" s="5">
        <v>42558</v>
      </c>
      <c r="E9" s="3">
        <v>196</v>
      </c>
      <c r="F9" s="3" t="str">
        <f>IF(A9&lt;150,"BAJA",IF(E9&lt;200,"NORMAL","ALTA"))</f>
        <v>NORMAL</v>
      </c>
      <c r="G9" s="3">
        <f>IF(AND(E9&lt;180,D9&gt;DATE(2016,7,15)),805,812)</f>
        <v>812</v>
      </c>
      <c r="H9" s="5">
        <f>D9+ROUNDUP(E9/10,0)</f>
        <v>42578</v>
      </c>
      <c r="I9" s="3">
        <f>VLOOKUP(C9,Departamentos!$C$3:$D$7,2,0)*E9</f>
        <v>49000</v>
      </c>
    </row>
    <row r="10" spans="1:10">
      <c r="A10" s="3">
        <v>1150</v>
      </c>
      <c r="B10" s="3" t="str">
        <f>VLOOKUP(A10,Materias!$B$3:$D$15,2,0)</f>
        <v>Computación I</v>
      </c>
      <c r="C10" s="3" t="str">
        <f>VLOOKUP(VLOOKUP(A10,Materias!$B$3:$D$15,3,0),Departamentos!$B$3:$D$7,2,0)</f>
        <v>Económicas</v>
      </c>
      <c r="D10" s="5">
        <v>42562</v>
      </c>
      <c r="E10" s="3">
        <v>175</v>
      </c>
      <c r="F10" s="3" t="str">
        <f>IF(A10&lt;150,"BAJA",IF(E10&lt;200,"NORMAL","ALTA"))</f>
        <v>NORMAL</v>
      </c>
      <c r="G10" s="3">
        <f>IF(AND(E10&lt;180,D10&gt;DATE(2016,7,15)),805,812)</f>
        <v>812</v>
      </c>
      <c r="H10" s="5">
        <f>D10+ROUNDUP(E10/10,0)</f>
        <v>42580</v>
      </c>
      <c r="I10" s="3">
        <f>VLOOKUP(C10,Departamentos!$C$3:$D$7,2,0)*E10</f>
        <v>43750</v>
      </c>
    </row>
    <row r="11" spans="1:10">
      <c r="A11" s="3">
        <v>1200</v>
      </c>
      <c r="B11" s="3" t="str">
        <f>VLOOKUP(A11,Materias!$B$3:$D$15,2,0)</f>
        <v>Estadística</v>
      </c>
      <c r="C11" s="3" t="str">
        <f>VLOOKUP(VLOOKUP(A11,Materias!$B$3:$D$15,3,0),Departamentos!$B$3:$D$7,2,0)</f>
        <v>Económicas</v>
      </c>
      <c r="D11" s="5">
        <v>42571</v>
      </c>
      <c r="E11" s="3">
        <v>158</v>
      </c>
      <c r="F11" s="3" t="str">
        <f>IF(A11&lt;150,"BAJA",IF(E11&lt;200,"NORMAL","ALTA"))</f>
        <v>NORMAL</v>
      </c>
      <c r="G11" s="3">
        <f>IF(AND(E11&lt;180,D11&gt;DATE(2016,7,15)),805,812)</f>
        <v>805</v>
      </c>
      <c r="H11" s="5">
        <f>D11+ROUNDUP(E11/10,0)</f>
        <v>42587</v>
      </c>
      <c r="I11" s="3">
        <f>VLOOKUP(C11,Departamentos!$C$3:$D$7,2,0)*E11</f>
        <v>39500</v>
      </c>
    </row>
    <row r="12" spans="1:10">
      <c r="A12" s="3">
        <v>1120</v>
      </c>
      <c r="B12" s="3" t="str">
        <f>VLOOKUP(A12,Materias!$B$3:$D$15,2,0)</f>
        <v>Análisis Matematico</v>
      </c>
      <c r="C12" s="3" t="str">
        <f>VLOOKUP(VLOOKUP(A12,Materias!$B$3:$D$15,3,0),Departamentos!$B$3:$D$7,2,0)</f>
        <v>Ingeniería</v>
      </c>
      <c r="D12" s="5">
        <v>46218</v>
      </c>
      <c r="E12" s="3">
        <v>232</v>
      </c>
      <c r="F12" s="3" t="str">
        <f>IF(A12&lt;150,"BAJA",IF(E12&lt;200,"NORMAL","ALTA"))</f>
        <v>ALTA</v>
      </c>
      <c r="G12" s="3">
        <f>IF(AND(E12&lt;180,D12&gt;DATE(2016,7,15)),805,812)</f>
        <v>812</v>
      </c>
      <c r="H12" s="5">
        <f>D12+ROUNDUP(E12/10,0)</f>
        <v>46242</v>
      </c>
      <c r="I12" s="3">
        <f>VLOOKUP(C12,Departamentos!$C$3:$D$7,2,0)*E12</f>
        <v>41760</v>
      </c>
    </row>
    <row r="13" spans="1:10">
      <c r="A13" s="3">
        <v>1080</v>
      </c>
      <c r="B13" s="3" t="str">
        <f>VLOOKUP(A13,Materias!$B$3:$D$15,2,0)</f>
        <v>Sistemas Operativos I</v>
      </c>
      <c r="C13" s="3" t="str">
        <f>VLOOKUP(VLOOKUP(A13,Materias!$B$3:$D$15,3,0),Departamentos!$B$3:$D$7,2,0)</f>
        <v>Ingeniería</v>
      </c>
      <c r="D13" s="5">
        <v>42574</v>
      </c>
      <c r="E13" s="3">
        <v>141</v>
      </c>
      <c r="F13" s="3" t="str">
        <f>IF(A13&lt;150,"BAJA",IF(E13&lt;200,"NORMAL","ALTA"))</f>
        <v>NORMAL</v>
      </c>
      <c r="G13" s="3">
        <f>IF(AND(E13&lt;180,D13&gt;DATE(2016,7,15)),805,812)</f>
        <v>805</v>
      </c>
      <c r="H13" s="5">
        <f>D13+ROUNDUP(E13/10,0)</f>
        <v>42589</v>
      </c>
      <c r="I13" s="3">
        <f>VLOOKUP(C13,Departamentos!$C$3:$D$7,2,0)*E13</f>
        <v>25380</v>
      </c>
    </row>
    <row r="14" spans="1:10">
      <c r="A14" s="3">
        <v>1860</v>
      </c>
      <c r="B14" s="3" t="str">
        <f>VLOOKUP(A14,Materias!$B$3:$D$15,2,0)</f>
        <v>Enfermería</v>
      </c>
      <c r="C14" s="3" t="str">
        <f>VLOOKUP(VLOOKUP(A14,Materias!$B$3:$D$15,3,0),Departamentos!$B$3:$D$7,2,0)</f>
        <v>Medicina</v>
      </c>
      <c r="D14" s="5">
        <v>42575</v>
      </c>
      <c r="E14" s="3">
        <v>171</v>
      </c>
      <c r="F14" s="3" t="str">
        <f>IF(A14&lt;150,"BAJA",IF(E14&lt;200,"NORMAL","ALTA"))</f>
        <v>NORMAL</v>
      </c>
      <c r="G14" s="3">
        <f>IF(AND(E14&lt;180,D14&gt;DATE(2016,7,15)),805,812)</f>
        <v>805</v>
      </c>
      <c r="H14" s="5">
        <f>D14+ROUNDUP(E14/10,0)</f>
        <v>42593</v>
      </c>
      <c r="I14" s="3">
        <f>VLOOKUP(C14,Departamentos!$C$3:$D$7,2,0)*E14</f>
        <v>51300</v>
      </c>
    </row>
    <row r="15" spans="1:10">
      <c r="A15" s="3">
        <v>1850</v>
      </c>
      <c r="B15" s="3" t="str">
        <f>VLOOKUP(A15,Materias!$B$3:$D$15,2,0)</f>
        <v>Biología I</v>
      </c>
      <c r="C15" s="3" t="str">
        <f>VLOOKUP(VLOOKUP(A15,Materias!$B$3:$D$15,3,0),Departamentos!$B$3:$D$7,2,0)</f>
        <v>Medicina</v>
      </c>
      <c r="D15" s="5">
        <v>42574</v>
      </c>
      <c r="E15" s="3">
        <v>170</v>
      </c>
      <c r="F15" s="3" t="str">
        <f>IF(A15&lt;150,"BAJA",IF(E15&lt;200,"NORMAL","ALTA"))</f>
        <v>NORMAL</v>
      </c>
      <c r="G15" s="3">
        <f>IF(AND(E15&lt;180,D15&gt;DATE(2016,7,15)),805,812)</f>
        <v>805</v>
      </c>
      <c r="H15" s="5">
        <f>D15+ROUNDUP(E15/10,0)</f>
        <v>42591</v>
      </c>
      <c r="I15" s="3">
        <f>VLOOKUP(C15,Departamentos!$C$3:$D$7,2,0)*E15</f>
        <v>51000</v>
      </c>
    </row>
    <row r="16" spans="1:10">
      <c r="A16" s="3">
        <v>1825</v>
      </c>
      <c r="B16" s="3" t="str">
        <f>VLOOKUP(A16,Materias!$B$3:$D$15,2,0)</f>
        <v>Anatomía I</v>
      </c>
      <c r="C16" s="3" t="str">
        <f>VLOOKUP(VLOOKUP(A16,Materias!$B$3:$D$15,3,0),Departamentos!$B$3:$D$7,2,0)</f>
        <v>Medicina</v>
      </c>
      <c r="D16" s="5">
        <v>42573</v>
      </c>
      <c r="E16" s="3">
        <v>169</v>
      </c>
      <c r="F16" s="3" t="str">
        <f>IF(A16&lt;150,"BAJA",IF(E16&lt;200,"NORMAL","ALTA"))</f>
        <v>NORMAL</v>
      </c>
      <c r="G16" s="3">
        <f>IF(AND(E16&lt;180,D16&gt;DATE(2016,7,15)),805,812)</f>
        <v>805</v>
      </c>
      <c r="H16" s="5">
        <f>D16+ROUNDUP(E16/10,0)</f>
        <v>42590</v>
      </c>
      <c r="I16" s="3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282B-D369-422D-A5EE-21EEA9B376E8}">
  <dimension ref="B3:D15"/>
  <sheetViews>
    <sheetView workbookViewId="0">
      <selection activeCell="C17" sqref="C17"/>
    </sheetView>
  </sheetViews>
  <sheetFormatPr defaultRowHeight="15"/>
  <cols>
    <col min="2" max="2" width="16.7109375" bestFit="1" customWidth="1"/>
    <col min="3" max="3" width="19.5703125" customWidth="1"/>
    <col min="4" max="4" width="22.7109375" bestFit="1" customWidth="1"/>
  </cols>
  <sheetData>
    <row r="3" spans="2:4">
      <c r="B3" s="7" t="s">
        <v>10</v>
      </c>
      <c r="C3" s="7" t="s">
        <v>2</v>
      </c>
      <c r="D3" s="7" t="s">
        <v>11</v>
      </c>
    </row>
    <row r="4" spans="2:4">
      <c r="B4" s="7">
        <v>1010</v>
      </c>
      <c r="C4" s="7" t="s">
        <v>12</v>
      </c>
      <c r="D4" s="7" t="s">
        <v>13</v>
      </c>
    </row>
    <row r="5" spans="2:4">
      <c r="B5" s="7">
        <v>1280</v>
      </c>
      <c r="C5" s="7" t="s">
        <v>14</v>
      </c>
      <c r="D5" s="7" t="s">
        <v>13</v>
      </c>
    </row>
    <row r="6" spans="2:4">
      <c r="B6" s="7">
        <v>1420</v>
      </c>
      <c r="C6" s="7" t="s">
        <v>15</v>
      </c>
      <c r="D6" s="7" t="s">
        <v>13</v>
      </c>
    </row>
    <row r="7" spans="2:4">
      <c r="B7" s="7">
        <v>1080</v>
      </c>
      <c r="C7" s="7" t="s">
        <v>16</v>
      </c>
      <c r="D7" s="7" t="s">
        <v>17</v>
      </c>
    </row>
    <row r="8" spans="2:4">
      <c r="B8" s="7">
        <v>1120</v>
      </c>
      <c r="C8" s="7" t="s">
        <v>18</v>
      </c>
      <c r="D8" s="7" t="s">
        <v>17</v>
      </c>
    </row>
    <row r="9" spans="2:4">
      <c r="B9" s="7">
        <v>1150</v>
      </c>
      <c r="C9" s="7" t="s">
        <v>19</v>
      </c>
      <c r="D9" s="7" t="s">
        <v>20</v>
      </c>
    </row>
    <row r="10" spans="2:4">
      <c r="B10" s="7">
        <v>1200</v>
      </c>
      <c r="C10" s="7" t="s">
        <v>21</v>
      </c>
      <c r="D10" s="7" t="s">
        <v>20</v>
      </c>
    </row>
    <row r="11" spans="2:4">
      <c r="B11" s="7">
        <v>1250</v>
      </c>
      <c r="C11" s="7" t="s">
        <v>22</v>
      </c>
      <c r="D11" s="7" t="s">
        <v>20</v>
      </c>
    </row>
    <row r="12" spans="2:4">
      <c r="B12" s="7">
        <v>1300</v>
      </c>
      <c r="C12" s="7" t="s">
        <v>23</v>
      </c>
      <c r="D12" s="7" t="s">
        <v>20</v>
      </c>
    </row>
    <row r="13" spans="2:4">
      <c r="B13" s="7">
        <v>1825</v>
      </c>
      <c r="C13" s="7" t="s">
        <v>24</v>
      </c>
      <c r="D13" s="7" t="s">
        <v>25</v>
      </c>
    </row>
    <row r="14" spans="2:4">
      <c r="B14" s="7">
        <v>1850</v>
      </c>
      <c r="C14" s="7" t="s">
        <v>26</v>
      </c>
      <c r="D14" s="7" t="s">
        <v>25</v>
      </c>
    </row>
    <row r="15" spans="2:4">
      <c r="B15" s="7">
        <v>1860</v>
      </c>
      <c r="C15" s="7" t="s">
        <v>27</v>
      </c>
      <c r="D15" s="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5F5D-A154-4AAE-A52B-FA86F251F5AD}">
  <dimension ref="B3:D7"/>
  <sheetViews>
    <sheetView workbookViewId="0">
      <selection activeCell="B3" sqref="B3:D7"/>
    </sheetView>
  </sheetViews>
  <sheetFormatPr defaultRowHeight="15"/>
  <cols>
    <col min="2" max="2" width="22.7109375" bestFit="1" customWidth="1"/>
    <col min="3" max="3" width="13.5703125" bestFit="1" customWidth="1"/>
  </cols>
  <sheetData>
    <row r="3" spans="2:4">
      <c r="B3" s="6" t="s">
        <v>11</v>
      </c>
      <c r="C3" s="6" t="s">
        <v>3</v>
      </c>
      <c r="D3" s="6" t="s">
        <v>28</v>
      </c>
    </row>
    <row r="4" spans="2:4">
      <c r="B4" s="6" t="s">
        <v>13</v>
      </c>
      <c r="C4" s="6" t="s">
        <v>29</v>
      </c>
      <c r="D4" s="6">
        <v>220</v>
      </c>
    </row>
    <row r="5" spans="2:4">
      <c r="B5" s="6" t="s">
        <v>17</v>
      </c>
      <c r="C5" s="6" t="s">
        <v>30</v>
      </c>
      <c r="D5" s="6">
        <v>180</v>
      </c>
    </row>
    <row r="6" spans="2:4">
      <c r="B6" s="6" t="s">
        <v>20</v>
      </c>
      <c r="C6" s="6" t="s">
        <v>31</v>
      </c>
      <c r="D6" s="6">
        <v>250</v>
      </c>
    </row>
    <row r="7" spans="2:4">
      <c r="B7" s="6" t="s">
        <v>25</v>
      </c>
      <c r="C7" s="6" t="s">
        <v>32</v>
      </c>
      <c r="D7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2026-02-18T16:49:42Z</dcterms:created>
  <dcterms:modified xsi:type="dcterms:W3CDTF">2026-02-18T23:16:20Z</dcterms:modified>
  <cp:category/>
  <cp:contentStatus/>
</cp:coreProperties>
</file>