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DEE7CF1-422D-4106-9B5B-6BAE5C017AEC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Inscripciones 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B11" i="1"/>
  <c r="B10" i="1"/>
  <c r="B9" i="1"/>
  <c r="B5" i="1"/>
  <c r="B13" i="1"/>
  <c r="B8" i="1"/>
  <c r="B7" i="1"/>
  <c r="B6" i="1"/>
  <c r="B16" i="1"/>
  <c r="B15" i="1"/>
  <c r="B14" i="1"/>
  <c r="C11" i="1"/>
  <c r="I11" i="1" s="1"/>
  <c r="C10" i="1"/>
  <c r="I10" i="1" s="1"/>
  <c r="C9" i="1"/>
  <c r="I9" i="1" s="1"/>
  <c r="C5" i="1"/>
  <c r="I5" i="1" s="1"/>
  <c r="C13" i="1"/>
  <c r="I13" i="1" s="1"/>
  <c r="C8" i="1"/>
  <c r="I8" i="1" s="1"/>
  <c r="C7" i="1"/>
  <c r="I7" i="1" s="1"/>
  <c r="C6" i="1"/>
  <c r="I6" i="1" s="1"/>
  <c r="C16" i="1"/>
  <c r="I16" i="1" s="1"/>
  <c r="C15" i="1"/>
  <c r="I15" i="1" s="1"/>
  <c r="C14" i="1"/>
  <c r="I14" i="1" s="1"/>
  <c r="B12" i="1"/>
  <c r="C12" i="1"/>
  <c r="I12" i="1" s="1"/>
</calcChain>
</file>

<file path=xl/sharedStrings.xml><?xml version="1.0" encoding="utf-8"?>
<sst xmlns="http://schemas.openxmlformats.org/spreadsheetml/2006/main" count="48" uniqueCount="32">
  <si>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</si>
  <si>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</si>
  <si>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</si>
  <si>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</si>
  <si>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</si>
  <si>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</si>
  <si>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</si>
  <si>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</si>
  <si>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las notas</t>
  </si>
  <si>
    <t>Importe de inscripciones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</si>
  <si>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</si>
  <si>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</si>
  <si>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</si>
  <si>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</si>
  <si>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</si>
  <si>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</si>
  <si>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</si>
  <si>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</si>
  <si>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</si>
  <si>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</si>
  <si>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</si>
  <si>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</si>
  <si>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</si>
  <si>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Anatomía I</t>
  </si>
  <si>
    <t>D</t>
  </si>
  <si>
    <t>Biología I</t>
  </si>
  <si>
    <t>Enfermería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</si>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</sst>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K16"/>
  <sheetViews>
    <sheetView workbookViewId="0">
      <selection activeCell="I8" sqref="I8"/>
    </sheetView>
  </sheetViews>
  <sheetFormatPr defaultRowHeight="15"/>
  <cols>
    <col min="1" max="1" width="8.85546875" customWidth="1"/>
    <col min="2" max="2" width="22" customWidth="1"/>
    <col min="3" max="3" width="14.42578125" customWidth="1"/>
    <col min="4" max="4" width="12.85546875" customWidth="1"/>
    <col min="5" max="5" width="14.140625" customWidth="1"/>
    <col min="6" max="6" width="10.28515625" customWidth="1"/>
    <col min="7" max="7" width="11" customWidth="1"/>
    <col min="8" max="8" width="14.5703125" customWidth="1"/>
    <col min="9" max="9" width="13.28515625" customWidth="1"/>
  </cols>
  <sheetData>
    <row r="2" spans="1:11">
      <c r="A2" s="3" t="s">
        <v>0</v>
      </c>
      <c r="B2" s="4"/>
      <c r="C2" s="4"/>
      <c r="D2" s="4"/>
      <c r="E2" s="4"/>
      <c r="F2" s="4"/>
      <c r="G2" s="4"/>
      <c r="H2" s="4"/>
      <c r="I2" s="5"/>
    </row>
    <row r="4" spans="1:11" ht="48" customHeight="1">
      <c r="A4" s="6" t="s">
        <v>1</v>
      </c>
      <c r="B4" s="6" t="s">
        <v>2</v>
      </c>
      <c r="C4" s="7" t="s">
        <v>3</v>
      </c>
      <c r="D4" s="6" t="s">
        <v>4</v>
      </c>
      <c r="E4" s="6" t="s">
        <v>5</v>
      </c>
      <c r="F4" s="7" t="s">
        <v>6</v>
      </c>
      <c r="G4" s="6" t="s">
        <v>7</v>
      </c>
      <c r="H4" s="6" t="s">
        <v>8</v>
      </c>
      <c r="I4" s="6" t="s">
        <v>9</v>
      </c>
      <c r="J4" s="1"/>
      <c r="K4" s="1"/>
    </row>
    <row r="5" spans="1:11">
      <c r="A5">
        <v>1010</v>
      </c>
      <c r="B5" s="1" t="str">
        <f>VLOOKUP(A5,Materias!$B$3:$D$15,2,FALSE)</f>
        <v>Derecho Público</v>
      </c>
      <c r="C5" t="str">
        <f>VLOOKUP(VLOOKUP(A5,Materias!$B$3:$D$15,3,0),Departamentos!$B$3:$D$7,2,0)</f>
        <v>Derecho</v>
      </c>
      <c r="D5" s="2">
        <v>42569</v>
      </c>
      <c r="E5">
        <v>202</v>
      </c>
      <c r="F5" t="str">
        <f>IF(E5&lt;150,"BAJA",IF(E5&lt;200,"NORMAL","ALTA"))</f>
        <v>ALTA</v>
      </c>
      <c r="G5">
        <f>IF(AND(E5&lt;180,D5&gt;DATE(2016,7,15)),805,812)</f>
        <v>812</v>
      </c>
      <c r="H5" s="2">
        <f>D5+ROUNDUP(E5/10,0)</f>
        <v>42590</v>
      </c>
      <c r="I5">
        <f>VLOOKUP(C5,Departamentos!$C$3:$D$7,2,0)*E5</f>
        <v>44440</v>
      </c>
    </row>
    <row r="6" spans="1:11">
      <c r="A6">
        <v>1280</v>
      </c>
      <c r="B6" s="1" t="str">
        <f>VLOOKUP(A6,Materias!$B$3:$D$15,2,FALSE)</f>
        <v>Derecho penal</v>
      </c>
      <c r="C6" t="str">
        <f>VLOOKUP(VLOOKUP(A6,Materias!$B$3:$D$15,3,0),Departamentos!$B$3:$D$7,2,0)</f>
        <v>Derecho</v>
      </c>
      <c r="D6" s="2">
        <v>42572</v>
      </c>
      <c r="E6">
        <v>168</v>
      </c>
      <c r="F6" t="str">
        <f>IF(E6&lt;150,"BAJA",IF(E6&lt;200,"NORMAL","ALTA"))</f>
        <v>NORMAL</v>
      </c>
      <c r="G6">
        <f>IF(AND(E6&lt;180,D6&gt;DATE(2016,7,15)),805,812)</f>
        <v>805</v>
      </c>
      <c r="H6" s="2">
        <f>D6+ROUNDUP(E6/10,0)</f>
        <v>42589</v>
      </c>
      <c r="I6">
        <f>VLOOKUP(C6,Departamentos!$C$3:$D$7,2,0)*E6</f>
        <v>36960</v>
      </c>
    </row>
    <row r="7" spans="1:11">
      <c r="A7">
        <v>1420</v>
      </c>
      <c r="B7" s="1" t="str">
        <f>VLOOKUP(A7,Materias!$B$3:$D$15,2,FALSE)</f>
        <v>Derecho civil</v>
      </c>
      <c r="C7" t="str">
        <f>VLOOKUP(VLOOKUP(A7,Materias!$B$3:$D$15,3,0),Departamentos!$B$3:$D$7,2,0)</f>
        <v>Derecho</v>
      </c>
      <c r="D7" s="2">
        <v>42564</v>
      </c>
      <c r="E7">
        <v>136</v>
      </c>
      <c r="F7" t="str">
        <f>IF(E7&lt;150,"BAJA",IF(E7&lt;200,"NORMAL","ALTA"))</f>
        <v>BAJA</v>
      </c>
      <c r="G7">
        <f>IF(AND(E7&lt;180,D7&gt;DATE(2016,7,15)),805,812)</f>
        <v>812</v>
      </c>
      <c r="H7" s="2">
        <f>D7+ROUNDUP(E7/10,0)</f>
        <v>42578</v>
      </c>
      <c r="I7">
        <f>VLOOKUP(C7,Departamentos!$C$3:$D$7,2,0)*E7</f>
        <v>29920</v>
      </c>
    </row>
    <row r="8" spans="1:11">
      <c r="A8">
        <v>1300</v>
      </c>
      <c r="B8" s="1" t="str">
        <f>VLOOKUP(A8,Materias!$B$3:$D$15,2,FALSE)</f>
        <v>Inglés I</v>
      </c>
      <c r="C8" t="str">
        <f>VLOOKUP(VLOOKUP(A8,Materias!$B$3:$D$15,3,0),Departamentos!$B$3:$D$7,2,0)</f>
        <v>Económicas</v>
      </c>
      <c r="D8" s="2">
        <v>42578</v>
      </c>
      <c r="E8">
        <v>215</v>
      </c>
      <c r="F8" t="str">
        <f>IF(E8&lt;150,"BAJA",IF(E8&lt;200,"NORMAL","ALTA"))</f>
        <v>ALTA</v>
      </c>
      <c r="G8">
        <f>IF(AND(E8&lt;180,D8&gt;DATE(2016,7,15)),805,812)</f>
        <v>812</v>
      </c>
      <c r="H8" s="2">
        <f>D8+ROUNDUP(E8/10,0)</f>
        <v>42600</v>
      </c>
      <c r="I8">
        <f>VLOOKUP(C8,Departamentos!$C$3:$D$7,2,0)*E8</f>
        <v>53750</v>
      </c>
    </row>
    <row r="9" spans="1:11">
      <c r="A9">
        <v>1250</v>
      </c>
      <c r="B9" s="1" t="str">
        <f>VLOOKUP(A9,Materias!$B$3:$D$15,2,FALSE)</f>
        <v>Computación II</v>
      </c>
      <c r="C9" t="str">
        <f>VLOOKUP(VLOOKUP(A9,Materias!$B$3:$D$15,3,0),Departamentos!$B$3:$D$7,2,0)</f>
        <v>Económicas</v>
      </c>
      <c r="D9" s="2">
        <v>42558</v>
      </c>
      <c r="E9">
        <v>196</v>
      </c>
      <c r="F9" t="str">
        <f>IF(E9&lt;150,"BAJA",IF(E9&lt;200,"NORMAL","ALTA"))</f>
        <v>NORMAL</v>
      </c>
      <c r="G9">
        <f>IF(AND(E9&lt;180,D9&gt;DATE(2016,7,15)),805,812)</f>
        <v>812</v>
      </c>
      <c r="H9" s="2">
        <f>D9+ROUNDUP(E9/10,0)</f>
        <v>42578</v>
      </c>
      <c r="I9">
        <f>VLOOKUP(C9,Departamentos!$C$3:$D$7,2,0)*E9</f>
        <v>49000</v>
      </c>
    </row>
    <row r="10" spans="1:11">
      <c r="A10">
        <v>1150</v>
      </c>
      <c r="B10" s="1" t="str">
        <f>VLOOKUP(A10,Materias!$B$3:$D$15,2,FALSE)</f>
        <v>Computación I</v>
      </c>
      <c r="C10" t="str">
        <f>VLOOKUP(VLOOKUP(A10,Materias!$B$3:$D$15,3,0),Departamentos!$B$3:$D$7,2,0)</f>
        <v>Económicas</v>
      </c>
      <c r="D10" s="2">
        <v>42562</v>
      </c>
      <c r="E10">
        <v>175</v>
      </c>
      <c r="F10" t="str">
        <f>IF(E10&lt;150,"BAJA",IF(E10&lt;200,"NORMAL","ALTA"))</f>
        <v>NORMAL</v>
      </c>
      <c r="G10">
        <f>IF(AND(E10&lt;180,D10&gt;DATE(2016,7,15)),805,812)</f>
        <v>812</v>
      </c>
      <c r="H10" s="2">
        <f>D10+ROUNDUP(E10/10,0)</f>
        <v>42580</v>
      </c>
      <c r="I10">
        <f>VLOOKUP(C10,Departamentos!$C$3:$D$7,2,0)*E10</f>
        <v>43750</v>
      </c>
    </row>
    <row r="11" spans="1:11">
      <c r="A11">
        <v>1200</v>
      </c>
      <c r="B11" s="1" t="str">
        <f>VLOOKUP(A11,Materias!$B$3:$D$15,2,FALSE)</f>
        <v>Estadística</v>
      </c>
      <c r="C11" t="str">
        <f>VLOOKUP(VLOOKUP(A11,Materias!$B$3:$D$15,3,0),Departamentos!$B$3:$D$7,2,0)</f>
        <v>Económicas</v>
      </c>
      <c r="D11" s="2">
        <v>42571</v>
      </c>
      <c r="E11">
        <v>158</v>
      </c>
      <c r="F11" t="str">
        <f>IF(E11&lt;150,"BAJA",IF(E11&lt;200,"NORMAL","ALTA"))</f>
        <v>NORMAL</v>
      </c>
      <c r="G11">
        <f>IF(AND(E11&lt;180,D11&gt;DATE(2016,7,15)),805,812)</f>
        <v>805</v>
      </c>
      <c r="H11" s="2">
        <f>D11+ROUNDUP(E11/10,0)</f>
        <v>42587</v>
      </c>
      <c r="I11">
        <f>VLOOKUP(C11,Departamentos!$C$3:$D$7,2,0)*E11</f>
        <v>39500</v>
      </c>
    </row>
    <row r="12" spans="1:11">
      <c r="A12">
        <v>1120</v>
      </c>
      <c r="B12" s="1" t="str">
        <f>VLOOKUP(A12,Materias!$B$3:$D$15,2,FALSE)</f>
        <v>Análisis Matemático</v>
      </c>
      <c r="C12" t="str">
        <f>VLOOKUP(VLOOKUP(A12,Materias!$B$3:$D$15,3,0),Departamentos!$B$3:$D$7,2,0)</f>
        <v>Ingeniería</v>
      </c>
      <c r="D12" s="2">
        <v>42566</v>
      </c>
      <c r="E12">
        <v>232</v>
      </c>
      <c r="F12" t="str">
        <f>IF(E12&lt;150,"BAJA",IF(E12&lt;200,"NORMAL","ALTA"))</f>
        <v>ALTA</v>
      </c>
      <c r="G12">
        <f>IF(AND(E12&lt;180,D12&gt;DATE(2016,7,15)),805,812)</f>
        <v>812</v>
      </c>
      <c r="H12" s="2">
        <f>D12+ROUNDUP(E12/10,0)</f>
        <v>42590</v>
      </c>
      <c r="I12">
        <f>VLOOKUP(C12,Departamentos!$C$3:$D$7,2,0)*E12</f>
        <v>41760</v>
      </c>
    </row>
    <row r="13" spans="1:11">
      <c r="A13">
        <v>1080</v>
      </c>
      <c r="B13" s="1" t="str">
        <f>VLOOKUP(A13,Materias!$B$3:$D$15,2,FALSE)</f>
        <v>Sistemas Operativos I</v>
      </c>
      <c r="C13" t="str">
        <f>VLOOKUP(VLOOKUP(A13,Materias!$B$3:$D$15,3,0),Departamentos!$B$3:$D$7,2,0)</f>
        <v>Ingeniería</v>
      </c>
      <c r="D13" s="2">
        <v>42574</v>
      </c>
      <c r="E13">
        <v>141</v>
      </c>
      <c r="F13" t="str">
        <f>IF(E13&lt;150,"BAJA",IF(E13&lt;200,"NORMAL","ALTA"))</f>
        <v>BAJA</v>
      </c>
      <c r="G13">
        <f>IF(AND(E13&lt;180,D13&gt;DATE(2016,7,15)),805,812)</f>
        <v>805</v>
      </c>
      <c r="H13" s="2">
        <f>D13+ROUNDUP(E13/10,0)</f>
        <v>42589</v>
      </c>
      <c r="I13">
        <f>VLOOKUP(C13,Departamentos!$C$3:$D$7,2,0)*E13</f>
        <v>25380</v>
      </c>
    </row>
    <row r="14" spans="1:11">
      <c r="A14">
        <v>1860</v>
      </c>
      <c r="B14" s="1" t="str">
        <f>VLOOKUP(A14,Materias!$B$3:$D$15,2,FALSE)</f>
        <v>Enfermería</v>
      </c>
      <c r="C14" t="str">
        <f>VLOOKUP(VLOOKUP(A14,Materias!$B$3:$D$15,3,0),Departamentos!$B$3:$D$7,2,0)</f>
        <v>Medicina</v>
      </c>
      <c r="D14" s="2">
        <v>42575</v>
      </c>
      <c r="E14">
        <v>171</v>
      </c>
      <c r="F14" t="str">
        <f>IF(E14&lt;150,"BAJA",IF(E14&lt;200,"NORMAL","ALTA"))</f>
        <v>NORMAL</v>
      </c>
      <c r="G14">
        <f>IF(AND(E14&lt;180,D14&gt;DATE(2016,7,15)),805,812)</f>
        <v>805</v>
      </c>
      <c r="H14" s="2">
        <f>D14+ROUNDUP(E14/10,0)</f>
        <v>42593</v>
      </c>
      <c r="I14">
        <f>VLOOKUP(C14,Departamentos!$C$3:$D$7,2,0)*E14</f>
        <v>51300</v>
      </c>
    </row>
    <row r="15" spans="1:11">
      <c r="A15">
        <v>1850</v>
      </c>
      <c r="B15" s="1" t="str">
        <f>VLOOKUP(A15,Materias!$B$3:$D$15,2,FALSE)</f>
        <v>Biología I</v>
      </c>
      <c r="C15" t="str">
        <f>VLOOKUP(VLOOKUP(A15,Materias!$B$3:$D$15,3,0),Departamentos!$B$3:$D$7,2,0)</f>
        <v>Medicina</v>
      </c>
      <c r="D15" s="2">
        <v>42574</v>
      </c>
      <c r="E15">
        <v>170</v>
      </c>
      <c r="F15" t="str">
        <f>IF(E15&lt;150,"BAJA",IF(E15&lt;200,"NORMAL","ALTA"))</f>
        <v>NORMAL</v>
      </c>
      <c r="G15">
        <f>IF(AND(E15&lt;180,D15&gt;DATE(2016,7,15)),805,812)</f>
        <v>805</v>
      </c>
      <c r="H15" s="2">
        <f>D15+ROUNDUP(E15/10,0)</f>
        <v>42591</v>
      </c>
      <c r="I15">
        <f>VLOOKUP(C15,Departamentos!$C$3:$D$7,2,0)*E15</f>
        <v>51000</v>
      </c>
    </row>
    <row r="16" spans="1:11">
      <c r="A16">
        <v>1825</v>
      </c>
      <c r="B16" s="1" t="str">
        <f>VLOOKUP(A16,Materias!$B$3:$D$15,2,FALSE)</f>
        <v>Anatomía I</v>
      </c>
      <c r="C16" t="str">
        <f>VLOOKUP(VLOOKUP(A16,Materias!$B$3:$D$15,3,0),Departamentos!$B$3:$D$7,2,0)</f>
        <v>Medicina</v>
      </c>
      <c r="D16" s="2">
        <v>42573</v>
      </c>
      <c r="E16">
        <v>169</v>
      </c>
      <c r="F16" t="str">
        <f>IF(E16&lt;150,"BAJA",IF(E16&lt;200,"NORMAL","ALTA"))</f>
        <v>NORMAL</v>
      </c>
      <c r="G16">
        <f>IF(AND(E16&lt;180,D16&gt;DATE(2016,7,15)),805,812)</f>
        <v>805</v>
      </c>
      <c r="H16" s="2">
        <f>D16+ROUNDUP(E16/10,0)</f>
        <v>42590</v>
      </c>
      <c r="I16">
        <f>VLOOKUP(C16,Departamentos!$C$3:$D$7,2,0)*E16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CA98-03A4-4C05-98A1-BDFD05E54A4E}">
  <sheetPr>
    <tabColor rgb="FFFFFF00"/>
  </sheetPr>
  <dimension ref="B3:F15"/>
  <sheetViews>
    <sheetView topLeftCell="A2" workbookViewId="0">
      <selection activeCell="F8" sqref="F8"/>
    </sheetView>
  </sheetViews>
  <sheetFormatPr defaultRowHeight="15"/>
  <cols>
    <col min="2" max="2" width="12.140625" customWidth="1"/>
    <col min="3" max="3" width="19.140625" customWidth="1"/>
    <col min="4" max="4" width="18" customWidth="1"/>
  </cols>
  <sheetData>
    <row r="3" spans="2:6" ht="60.75">
      <c r="B3" s="8" t="s">
        <v>1</v>
      </c>
      <c r="C3" s="8" t="s">
        <v>2</v>
      </c>
      <c r="D3" s="8" t="s">
        <v>10</v>
      </c>
      <c r="E3" s="1"/>
      <c r="F3" s="1"/>
    </row>
    <row r="4" spans="2:6">
      <c r="B4" s="9">
        <v>1010</v>
      </c>
      <c r="C4" s="9" t="s">
        <v>11</v>
      </c>
      <c r="D4" s="9" t="s">
        <v>12</v>
      </c>
    </row>
    <row r="5" spans="2:6">
      <c r="B5" s="9">
        <v>1280</v>
      </c>
      <c r="C5" s="9" t="s">
        <v>13</v>
      </c>
      <c r="D5" s="9" t="s">
        <v>12</v>
      </c>
    </row>
    <row r="6" spans="2:6">
      <c r="B6" s="9">
        <v>1420</v>
      </c>
      <c r="C6" s="9" t="s">
        <v>14</v>
      </c>
      <c r="D6" s="9" t="s">
        <v>12</v>
      </c>
    </row>
    <row r="7" spans="2:6">
      <c r="B7" s="9">
        <v>1080</v>
      </c>
      <c r="C7" s="9" t="s">
        <v>15</v>
      </c>
      <c r="D7" s="9" t="s">
        <v>16</v>
      </c>
    </row>
    <row r="8" spans="2:6">
      <c r="B8" s="9">
        <v>1120</v>
      </c>
      <c r="C8" s="9" t="s">
        <v>17</v>
      </c>
      <c r="D8" s="9" t="s">
        <v>16</v>
      </c>
    </row>
    <row r="9" spans="2:6">
      <c r="B9" s="9">
        <v>1150</v>
      </c>
      <c r="C9" s="9" t="s">
        <v>18</v>
      </c>
      <c r="D9" s="9" t="s">
        <v>19</v>
      </c>
    </row>
    <row r="10" spans="2:6">
      <c r="B10" s="9">
        <v>1200</v>
      </c>
      <c r="C10" s="9" t="s">
        <v>20</v>
      </c>
      <c r="D10" s="9" t="s">
        <v>19</v>
      </c>
    </row>
    <row r="11" spans="2:6">
      <c r="B11" s="9">
        <v>1250</v>
      </c>
      <c r="C11" s="9" t="s">
        <v>21</v>
      </c>
      <c r="D11" s="9" t="s">
        <v>19</v>
      </c>
    </row>
    <row r="12" spans="2:6">
      <c r="B12" s="9">
        <v>1300</v>
      </c>
      <c r="C12" s="9" t="s">
        <v>22</v>
      </c>
      <c r="D12" s="9" t="s">
        <v>19</v>
      </c>
    </row>
    <row r="13" spans="2:6">
      <c r="B13" s="9">
        <v>1825</v>
      </c>
      <c r="C13" s="9" t="s">
        <v>23</v>
      </c>
      <c r="D13" s="9" t="s">
        <v>24</v>
      </c>
    </row>
    <row r="14" spans="2:6">
      <c r="B14" s="9">
        <v>1850</v>
      </c>
      <c r="C14" s="9" t="s">
        <v>25</v>
      </c>
      <c r="D14" s="9" t="s">
        <v>24</v>
      </c>
    </row>
    <row r="15" spans="2:6">
      <c r="B15" s="9">
        <v>1860</v>
      </c>
      <c r="C15" s="9" t="s">
        <v>26</v>
      </c>
      <c r="D15" s="9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B041-05C4-4394-BBA0-76CC2BFAD569}">
  <sheetPr>
    <tabColor rgb="FF92D050"/>
  </sheetPr>
  <dimension ref="B3:I7"/>
  <sheetViews>
    <sheetView tabSelected="1" workbookViewId="0">
      <selection activeCell="B3" sqref="B3:D7"/>
    </sheetView>
  </sheetViews>
  <sheetFormatPr defaultRowHeight="15"/>
  <cols>
    <col min="2" max="2" width="16" customWidth="1"/>
    <col min="3" max="3" width="14.5703125" customWidth="1"/>
  </cols>
  <sheetData>
    <row r="3" spans="2:9" ht="30.75">
      <c r="B3" s="8" t="s">
        <v>10</v>
      </c>
      <c r="C3" s="8" t="s">
        <v>3</v>
      </c>
      <c r="D3" s="8" t="s">
        <v>27</v>
      </c>
    </row>
    <row r="4" spans="2:9">
      <c r="B4" s="9" t="s">
        <v>12</v>
      </c>
      <c r="C4" s="9" t="s">
        <v>28</v>
      </c>
      <c r="D4" s="9">
        <v>220</v>
      </c>
    </row>
    <row r="5" spans="2:9">
      <c r="B5" s="9" t="s">
        <v>16</v>
      </c>
      <c r="C5" s="9" t="s">
        <v>29</v>
      </c>
      <c r="D5" s="9">
        <v>180</v>
      </c>
      <c r="I5">
        <f>VLOOKUP(C5,Departamentos!C$3:$D$7,2,0)</f>
        <v>180</v>
      </c>
    </row>
    <row r="6" spans="2:9">
      <c r="B6" s="9" t="s">
        <v>19</v>
      </c>
      <c r="C6" s="9" t="s">
        <v>30</v>
      </c>
      <c r="D6" s="9">
        <v>250</v>
      </c>
    </row>
    <row r="7" spans="2:9">
      <c r="B7" s="9" t="s">
        <v>24</v>
      </c>
      <c r="C7" s="9" t="s">
        <v>31</v>
      </c>
      <c r="D7" s="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2026-02-14T13:26:19Z</dcterms:created>
  <dcterms:modified xsi:type="dcterms:W3CDTF">2026-02-14T16:51:54Z</dcterms:modified>
  <cp:category/>
  <cp:contentStatus/>
</cp:coreProperties>
</file>