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C6640253-2969-42FB-8E75-99B8DBE13E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-TP2-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11" i="1"/>
  <c r="E10" i="1"/>
  <c r="E9" i="1"/>
  <c r="E8" i="1"/>
  <c r="E7" i="1"/>
  <c r="E6" i="1"/>
  <c r="E5" i="1"/>
  <c r="E4" i="1"/>
  <c r="E3" i="1"/>
  <c r="E2" i="1"/>
  <c r="F2" i="1" l="1"/>
  <c r="G2" i="1" s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B15" i="1" l="1"/>
  <c r="B14" i="1"/>
  <c r="H2" i="1"/>
</calcChain>
</file>

<file path=xl/sharedStrings.xml><?xml version="1.0" encoding="utf-8"?>
<sst xmlns="http://schemas.openxmlformats.org/spreadsheetml/2006/main" count="31" uniqueCount="26">
  <si>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</si>
  <si>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</si>
  <si>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</si>
  <si>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</si>
  <si>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</si>
  <si>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</si>
  <si>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</si>
  <si>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</si>
  <si>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01/08/2024</t>
  </si>
  <si>
    <t>Laptop HP Pavilion</t>
  </si>
  <si>
    <t>Smartphone Samsung Galaxy A54</t>
  </si>
  <si>
    <t>02/08/2024</t>
  </si>
  <si>
    <t>Auriculares Sony WH-1000XM5</t>
  </si>
  <si>
    <t>Smart TV LG 50"</t>
  </si>
  <si>
    <t>03/08/2024</t>
  </si>
  <si>
    <t>Tablet Lenovo Tab M10</t>
  </si>
  <si>
    <t>Monitor Dell 24"</t>
  </si>
  <si>
    <t>04/08/2024</t>
  </si>
  <si>
    <t>Impresora HP DeskJet</t>
  </si>
  <si>
    <t>Teclado Logitech K380</t>
  </si>
  <si>
    <t>05/08/2024</t>
  </si>
  <si>
    <t>Mouse Logitech MX Master 3</t>
  </si>
  <si>
    <t>Cámara Web Logitech C920</t>
  </si>
  <si>
    <t>Producto Más Vendido (Cantidad):</t>
  </si>
  <si>
    <t>Promedio de Ventas Netas:</t>
  </si>
  <si>
    <t>Ventas por Fecha (Primera Fecha):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</si>
</sst>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2" sqref="A2:I11"/>
    </sheetView>
  </sheetViews>
  <sheetFormatPr defaultRowHeight="15"/>
  <cols>
    <col min="1" max="1" width="11.5703125" customWidth="1"/>
    <col min="2" max="2" width="27.42578125" customWidth="1"/>
    <col min="7" max="7" width="10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13">
      <c r="A2" s="2" t="s">
        <v>8</v>
      </c>
      <c r="B2" s="3" t="s">
        <v>9</v>
      </c>
      <c r="C2" s="3">
        <v>850</v>
      </c>
      <c r="D2" s="3">
        <v>6</v>
      </c>
      <c r="E2" s="3">
        <f>C2*D2</f>
        <v>5100</v>
      </c>
      <c r="F2" s="3">
        <f>E2*$M$9</f>
        <v>357.00000000000006</v>
      </c>
      <c r="G2" s="3">
        <f>E2-F2</f>
        <v>4743</v>
      </c>
      <c r="H2" s="3" t="str">
        <f>IF(AND(G2&gt;1000,D2&gt;15),"Completa","Incompleta")</f>
        <v>Incompleta</v>
      </c>
      <c r="I2" s="4"/>
    </row>
    <row r="3" spans="1:13">
      <c r="A3" s="5" t="s">
        <v>8</v>
      </c>
      <c r="B3" s="6" t="s">
        <v>10</v>
      </c>
      <c r="C3" s="6">
        <v>620</v>
      </c>
      <c r="D3" s="6">
        <v>18</v>
      </c>
      <c r="E3" s="6">
        <f>C3*D3</f>
        <v>11160</v>
      </c>
      <c r="F3" s="6">
        <f>E3*$M$9</f>
        <v>781.2</v>
      </c>
      <c r="G3" s="6">
        <f>E3-F3</f>
        <v>10378.799999999999</v>
      </c>
      <c r="H3" s="6" t="str">
        <f>IF(AND(G3&gt;1000,D3&gt;15),"Completa","Incompleta")</f>
        <v>Completa</v>
      </c>
      <c r="I3" s="7"/>
    </row>
    <row r="4" spans="1:13">
      <c r="A4" s="5" t="s">
        <v>11</v>
      </c>
      <c r="B4" s="6" t="s">
        <v>12</v>
      </c>
      <c r="C4" s="6">
        <v>320</v>
      </c>
      <c r="D4" s="6">
        <v>10</v>
      </c>
      <c r="E4" s="6">
        <f>C4*D4</f>
        <v>3200</v>
      </c>
      <c r="F4" s="6">
        <f>E4*$M$9</f>
        <v>224.00000000000003</v>
      </c>
      <c r="G4" s="6">
        <f>E4-F4</f>
        <v>2976</v>
      </c>
      <c r="H4" s="6" t="str">
        <f>IF(AND(G4&gt;1000,D4&gt;15),"Completa","Incompleta")</f>
        <v>Incompleta</v>
      </c>
      <c r="I4" s="7"/>
    </row>
    <row r="5" spans="1:13">
      <c r="A5" s="5" t="s">
        <v>11</v>
      </c>
      <c r="B5" s="6" t="s">
        <v>13</v>
      </c>
      <c r="C5" s="6">
        <v>700</v>
      </c>
      <c r="D5" s="6">
        <v>4</v>
      </c>
      <c r="E5" s="6">
        <f>C5*D5</f>
        <v>2800</v>
      </c>
      <c r="F5" s="6">
        <f>E5*$M$9</f>
        <v>196.00000000000003</v>
      </c>
      <c r="G5" s="6">
        <f>E5-F5</f>
        <v>2604</v>
      </c>
      <c r="H5" s="6" t="str">
        <f>IF(AND(G5&gt;1000,D5&gt;15),"Completa","Incompleta")</f>
        <v>Incompleta</v>
      </c>
      <c r="I5" s="7"/>
    </row>
    <row r="6" spans="1:13">
      <c r="A6" s="5" t="s">
        <v>14</v>
      </c>
      <c r="B6" s="6" t="s">
        <v>15</v>
      </c>
      <c r="C6" s="6">
        <v>280</v>
      </c>
      <c r="D6" s="6">
        <v>12</v>
      </c>
      <c r="E6" s="6">
        <f>C6*D6</f>
        <v>3360</v>
      </c>
      <c r="F6" s="6">
        <f>E6*$M$9</f>
        <v>235.20000000000002</v>
      </c>
      <c r="G6" s="6">
        <f>E6-F6</f>
        <v>3124.8</v>
      </c>
      <c r="H6" s="6" t="str">
        <f>IF(AND(G6&gt;1000,D6&gt;15),"Completa","Incompleta")</f>
        <v>Incompleta</v>
      </c>
      <c r="I6" s="7"/>
    </row>
    <row r="7" spans="1:13">
      <c r="A7" s="5" t="s">
        <v>14</v>
      </c>
      <c r="B7" s="6" t="s">
        <v>16</v>
      </c>
      <c r="C7" s="6">
        <v>230</v>
      </c>
      <c r="D7" s="6">
        <v>9</v>
      </c>
      <c r="E7" s="6">
        <f>C7*D7</f>
        <v>2070</v>
      </c>
      <c r="F7" s="6">
        <f>E7*$M$9</f>
        <v>144.9</v>
      </c>
      <c r="G7" s="6">
        <f>E7-F7</f>
        <v>1925.1</v>
      </c>
      <c r="H7" s="6" t="str">
        <f>IF(AND(G7&gt;1000,D7&gt;15),"Completa","Incompleta")</f>
        <v>Incompleta</v>
      </c>
      <c r="I7" s="7"/>
    </row>
    <row r="8" spans="1:13">
      <c r="A8" s="5" t="s">
        <v>17</v>
      </c>
      <c r="B8" s="6" t="s">
        <v>18</v>
      </c>
      <c r="C8" s="6">
        <v>150</v>
      </c>
      <c r="D8" s="6">
        <v>7</v>
      </c>
      <c r="E8" s="6">
        <f>C8*D8</f>
        <v>1050</v>
      </c>
      <c r="F8" s="6">
        <f>E8*$M$9</f>
        <v>73.5</v>
      </c>
      <c r="G8" s="6">
        <f>E8-F8</f>
        <v>976.5</v>
      </c>
      <c r="H8" s="6" t="str">
        <f>IF(AND(G8&gt;1000,D8&gt;15),"Completa","Incompleta")</f>
        <v>Incompleta</v>
      </c>
      <c r="I8" s="7"/>
    </row>
    <row r="9" spans="1:13">
      <c r="A9" s="5" t="s">
        <v>17</v>
      </c>
      <c r="B9" s="6" t="s">
        <v>19</v>
      </c>
      <c r="C9" s="6">
        <v>45</v>
      </c>
      <c r="D9" s="6">
        <v>25</v>
      </c>
      <c r="E9" s="6">
        <f>C9*D9</f>
        <v>1125</v>
      </c>
      <c r="F9" s="6">
        <f>E9*$M$9</f>
        <v>78.750000000000014</v>
      </c>
      <c r="G9" s="6">
        <f>E9-F9</f>
        <v>1046.25</v>
      </c>
      <c r="H9" s="6" t="str">
        <f>IF(AND(G9&gt;1000,D9&gt;15),"Completa","Incompleta")</f>
        <v>Completa</v>
      </c>
      <c r="I9" s="7"/>
      <c r="M9">
        <v>7.0000000000000007E-2</v>
      </c>
    </row>
    <row r="10" spans="1:13">
      <c r="A10" s="5" t="s">
        <v>20</v>
      </c>
      <c r="B10" s="6" t="s">
        <v>21</v>
      </c>
      <c r="C10" s="6">
        <v>95</v>
      </c>
      <c r="D10" s="6">
        <v>14</v>
      </c>
      <c r="E10" s="6">
        <f>C10*D10</f>
        <v>1330</v>
      </c>
      <c r="F10" s="6">
        <f>E10*$M$9</f>
        <v>93.100000000000009</v>
      </c>
      <c r="G10" s="6">
        <f>E10-F10</f>
        <v>1236.9000000000001</v>
      </c>
      <c r="H10" s="6" t="str">
        <f>IF(AND(G10&gt;1000,D10&gt;15),"Completa","Incompleta")</f>
        <v>Incompleta</v>
      </c>
      <c r="I10" s="7"/>
    </row>
    <row r="11" spans="1:13">
      <c r="A11" s="8" t="s">
        <v>20</v>
      </c>
      <c r="B11" s="9" t="s">
        <v>22</v>
      </c>
      <c r="C11" s="9">
        <v>110</v>
      </c>
      <c r="D11" s="9">
        <v>8</v>
      </c>
      <c r="E11" s="9">
        <f>C11*D11</f>
        <v>880</v>
      </c>
      <c r="F11" s="9">
        <f>E11*$M$9</f>
        <v>61.600000000000009</v>
      </c>
      <c r="G11" s="9">
        <f>E11-F11</f>
        <v>818.4</v>
      </c>
      <c r="H11" s="9" t="str">
        <f>IF(AND(G11&gt;1000,D11&gt;15),"Completa","Incompleta")</f>
        <v>Incompleta</v>
      </c>
      <c r="I11" s="10"/>
    </row>
    <row r="13" spans="1:13">
      <c r="A13" t="s">
        <v>23</v>
      </c>
      <c r="B13">
        <f>MAX(D2:D11)</f>
        <v>25</v>
      </c>
    </row>
    <row r="14" spans="1:13">
      <c r="A14" t="s">
        <v>24</v>
      </c>
      <c r="B14">
        <f>AVERAGE(G2:G11)</f>
        <v>2982.9749999999999</v>
      </c>
    </row>
    <row r="15" spans="1:13">
      <c r="A15" t="s">
        <v>25</v>
      </c>
      <c r="B15">
        <f>SUMIF(A2:A11,A2,G2:G11)</f>
        <v>15121.8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2026-02-08T00:45:48Z</dcterms:created>
  <dcterms:modified xsi:type="dcterms:W3CDTF">2026-02-08T01:42:00Z</dcterms:modified>
  <cp:category/>
  <cp:contentStatus/>
</cp:coreProperties>
</file>