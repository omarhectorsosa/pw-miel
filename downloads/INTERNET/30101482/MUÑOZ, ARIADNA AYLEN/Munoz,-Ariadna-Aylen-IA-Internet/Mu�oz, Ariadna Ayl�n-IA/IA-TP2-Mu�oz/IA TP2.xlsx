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D7609E29-B684-448F-8265-6132E7B576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E2" i="1"/>
  <c r="E11" i="1"/>
  <c r="E8" i="1"/>
  <c r="H8" i="1" s="1"/>
  <c r="E5" i="1"/>
  <c r="H5" i="1" s="1"/>
  <c r="E4" i="1"/>
  <c r="H4" i="1" s="1"/>
  <c r="E3" i="1"/>
  <c r="H3" i="1" s="1"/>
  <c r="E7" i="1"/>
  <c r="E6" i="1"/>
  <c r="H6" i="1" s="1"/>
  <c r="E9" i="1"/>
  <c r="H9" i="1" s="1"/>
  <c r="E10" i="1"/>
  <c r="H10" i="1" s="1"/>
  <c r="H7" i="1" l="1"/>
  <c r="F7" i="1"/>
  <c r="G7" i="1" s="1"/>
  <c r="H11" i="1"/>
  <c r="F11" i="1"/>
  <c r="G11" i="1" s="1"/>
  <c r="B13" i="1"/>
  <c r="H2" i="1"/>
  <c r="F10" i="1"/>
  <c r="G10" i="1" s="1"/>
  <c r="F9" i="1"/>
  <c r="G9" i="1" s="1"/>
  <c r="F8" i="1"/>
  <c r="G8" i="1" s="1"/>
  <c r="F6" i="1"/>
  <c r="G6" i="1" s="1"/>
  <c r="F5" i="1"/>
  <c r="G5" i="1" s="1"/>
  <c r="F4" i="1"/>
  <c r="G4" i="1" s="1"/>
  <c r="F3" i="1"/>
  <c r="G3" i="1" s="1"/>
  <c r="F2" i="1"/>
  <c r="G2" i="1" s="1"/>
  <c r="B14" i="1" s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<sst xmlns="http://schemas.openxmlformats.org/spreadsheetml/2006/main" count="21" uniqueCount="21">
  <si>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</si>
  <si>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</si>
  <si>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 ($)</t>
  </si>
  <si>
    <t>Cantidad vendida</t>
  </si>
  <si>
    <t>Total ventas</t>
  </si>
  <si>
    <t>Total descuento</t>
  </si>
  <si>
    <t>Ventas netas</t>
  </si>
  <si>
    <t>Estado de venta</t>
  </si>
  <si>
    <t>Lámpara Aurora</t>
  </si>
  <si>
    <t>Cuaderno Nebula</t>
  </si>
  <si>
    <t>Taza Cósmica</t>
  </si>
  <si>
    <t>Mochila Orbit</t>
  </si>
  <si>
    <t>Bolígrafo Estelar</t>
  </si>
  <si>
    <t>Reloj Solarix</t>
  </si>
  <si>
    <t>Audífonos Nova</t>
  </si>
  <si>
    <t>Agenda Lunar</t>
  </si>
  <si>
    <t>Botella Galaxia</t>
  </si>
  <si>
    <t>Soporte Holográfico Zenit</t>
  </si>
  <si>
    <t>Producto mas vendido</t>
  </si>
  <si>
    <t>Promedio de ventas</t>
  </si>
  <si>
    <t>Ventas por 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</si>
</sst>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9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8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90695-AC00-43E5-B023-7249BB05AAB4}" name="Tabla1" displayName="Tabla1" ref="A1:H14" totalsRowShown="0">
  <autoFilter ref="A1:H14" xr:uid="{8C290695-AC00-43E5-B023-7249BB05AAB4}"/>
  <tableColumns count="8">
    <tableColumn id="1" xr3:uid="{111F2B6D-2D86-42E6-B688-733D924C33A7}" name="Fecha" dataDxfId="7"/>
    <tableColumn id="2" xr3:uid="{C4F44159-564F-4F34-BFB0-F61D1C534BE7}" name="Producto" dataDxfId="6"/>
    <tableColumn id="3" xr3:uid="{F3ABFD69-26DB-4F5A-9A43-E1914A0BA413}" name="Precio unitario ($)" dataDxfId="5"/>
    <tableColumn id="4" xr3:uid="{3FBFD360-7AA6-4D13-AFD5-DDC6B2713F77}" name="Cantidad vendida" dataDxfId="4"/>
    <tableColumn id="5" xr3:uid="{B1D589A3-8CDC-432C-9F1C-4D865C19E1B6}" name="Total ventas" dataDxfId="3"/>
    <tableColumn id="6" xr3:uid="{477F4627-BAC3-43EA-B306-2395CEF0A938}" name="Total descuento" dataDxfId="2"/>
    <tableColumn id="7" xr3:uid="{15A1A8C2-F740-4233-91EE-B415C9F9D0E7}" name="Ventas netas" dataDxfId="1"/>
    <tableColumn id="8" xr3:uid="{DEEED204-D68A-401F-B047-1C99B2924ADB}" name="Estado de venta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G20" sqref="G20"/>
    </sheetView>
  </sheetViews>
  <sheetFormatPr defaultRowHeight="15"/>
  <cols>
    <col min="1" max="1" width="20.42578125" bestFit="1" customWidth="1"/>
    <col min="2" max="2" width="23" bestFit="1" customWidth="1"/>
    <col min="3" max="3" width="19.140625" bestFit="1" customWidth="1"/>
    <col min="4" max="4" width="18.7109375" bestFit="1" customWidth="1"/>
    <col min="5" max="5" width="14.140625" customWidth="1"/>
    <col min="6" max="6" width="17.42578125" bestFit="1" customWidth="1"/>
    <col min="7" max="7" width="14.7109375" bestFit="1" customWidth="1"/>
    <col min="8" max="8" width="28.42578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>
      <c r="A2" s="3">
        <v>46147</v>
      </c>
      <c r="B2" s="4" t="s">
        <v>8</v>
      </c>
      <c r="C2" s="5">
        <v>450.99</v>
      </c>
      <c r="D2" s="4">
        <v>12</v>
      </c>
      <c r="E2" s="6">
        <f>C2*D2</f>
        <v>5411.88</v>
      </c>
      <c r="F2" s="6">
        <f>E2*$M$9</f>
        <v>378.83160000000004</v>
      </c>
      <c r="G2" s="6">
        <f>E2-F2</f>
        <v>5033.0483999999997</v>
      </c>
      <c r="H2" s="4" t="str">
        <f>IF(AND(E2&gt;1000,D2&gt;15),"Completa","")</f>
        <v/>
      </c>
    </row>
    <row r="3" spans="1:13">
      <c r="A3" s="3">
        <v>46147</v>
      </c>
      <c r="B3" s="4" t="s">
        <v>9</v>
      </c>
      <c r="C3" s="5">
        <v>80.5</v>
      </c>
      <c r="D3" s="4">
        <v>40</v>
      </c>
      <c r="E3" s="4">
        <f>C3*D3</f>
        <v>3220</v>
      </c>
      <c r="F3" s="6">
        <f t="shared" ref="F3:F11" si="0">E3*$M$9</f>
        <v>225.40000000000003</v>
      </c>
      <c r="G3" s="6">
        <f t="shared" ref="G3:G11" si="1">E3-F3</f>
        <v>2994.6</v>
      </c>
      <c r="H3" s="4" t="str">
        <f t="shared" ref="H3:H11" si="2">IF(AND(E3&gt;1000,D3&gt;15),"Completa","")</f>
        <v>Completa</v>
      </c>
    </row>
    <row r="4" spans="1:13">
      <c r="A4" s="3">
        <v>46161</v>
      </c>
      <c r="B4" s="4" t="s">
        <v>10</v>
      </c>
      <c r="C4" s="5">
        <v>120.75</v>
      </c>
      <c r="D4" s="4">
        <v>25</v>
      </c>
      <c r="E4" s="4">
        <f t="shared" ref="E4:E11" si="3">C4*D4</f>
        <v>3018.75</v>
      </c>
      <c r="F4" s="6">
        <f t="shared" si="0"/>
        <v>211.31250000000003</v>
      </c>
      <c r="G4" s="6">
        <f t="shared" si="1"/>
        <v>2807.4375</v>
      </c>
      <c r="H4" s="4" t="str">
        <f t="shared" si="2"/>
        <v>Completa</v>
      </c>
    </row>
    <row r="5" spans="1:13">
      <c r="A5" s="3">
        <v>46161</v>
      </c>
      <c r="B5" s="4" t="s">
        <v>11</v>
      </c>
      <c r="C5" s="5">
        <v>62</v>
      </c>
      <c r="D5" s="4">
        <v>9</v>
      </c>
      <c r="E5" s="6">
        <f>C5*D5</f>
        <v>558</v>
      </c>
      <c r="F5" s="6">
        <f t="shared" si="0"/>
        <v>39.06</v>
      </c>
      <c r="G5" s="6">
        <f t="shared" si="1"/>
        <v>518.94000000000005</v>
      </c>
      <c r="H5" s="4" t="str">
        <f t="shared" si="2"/>
        <v/>
      </c>
    </row>
    <row r="6" spans="1:13">
      <c r="A6" s="3">
        <v>46164</v>
      </c>
      <c r="B6" s="4" t="s">
        <v>12</v>
      </c>
      <c r="C6" s="5">
        <v>155</v>
      </c>
      <c r="D6" s="4">
        <v>100</v>
      </c>
      <c r="E6" s="4">
        <f t="shared" si="3"/>
        <v>15500</v>
      </c>
      <c r="F6" s="6">
        <f t="shared" si="0"/>
        <v>1085</v>
      </c>
      <c r="G6" s="6">
        <f t="shared" si="1"/>
        <v>14415</v>
      </c>
      <c r="H6" s="4" t="str">
        <f t="shared" si="2"/>
        <v>Completa</v>
      </c>
    </row>
    <row r="7" spans="1:13">
      <c r="A7" s="3">
        <v>46164</v>
      </c>
      <c r="B7" s="4" t="s">
        <v>13</v>
      </c>
      <c r="C7" s="5">
        <v>120</v>
      </c>
      <c r="D7" s="4">
        <v>6</v>
      </c>
      <c r="E7" s="4">
        <f t="shared" si="3"/>
        <v>720</v>
      </c>
      <c r="F7" s="6">
        <f t="shared" si="0"/>
        <v>50.400000000000006</v>
      </c>
      <c r="G7" s="6">
        <f t="shared" si="1"/>
        <v>669.6</v>
      </c>
      <c r="H7" s="4" t="str">
        <f t="shared" si="2"/>
        <v/>
      </c>
    </row>
    <row r="8" spans="1:13">
      <c r="A8" s="3">
        <v>46167</v>
      </c>
      <c r="B8" s="4" t="s">
        <v>14</v>
      </c>
      <c r="C8" s="5">
        <v>700</v>
      </c>
      <c r="D8" s="4">
        <v>15</v>
      </c>
      <c r="E8" s="4">
        <f t="shared" si="3"/>
        <v>10500</v>
      </c>
      <c r="F8" s="6">
        <f t="shared" si="0"/>
        <v>735.00000000000011</v>
      </c>
      <c r="G8" s="6">
        <f t="shared" si="1"/>
        <v>9765</v>
      </c>
      <c r="H8" s="4" t="str">
        <f t="shared" si="2"/>
        <v/>
      </c>
    </row>
    <row r="9" spans="1:13">
      <c r="A9" s="3">
        <v>46168</v>
      </c>
      <c r="B9" s="4" t="s">
        <v>15</v>
      </c>
      <c r="C9" s="5">
        <v>900</v>
      </c>
      <c r="D9" s="4">
        <v>22</v>
      </c>
      <c r="E9" s="4">
        <f t="shared" si="3"/>
        <v>19800</v>
      </c>
      <c r="F9" s="6">
        <f t="shared" si="0"/>
        <v>1386.0000000000002</v>
      </c>
      <c r="G9" s="6">
        <f t="shared" si="1"/>
        <v>18414</v>
      </c>
      <c r="H9" s="4" t="str">
        <f t="shared" si="2"/>
        <v>Completa</v>
      </c>
      <c r="M9" s="2">
        <v>7.0000000000000007E-2</v>
      </c>
    </row>
    <row r="10" spans="1:13">
      <c r="A10" s="3">
        <v>46169</v>
      </c>
      <c r="B10" s="4" t="s">
        <v>16</v>
      </c>
      <c r="C10" s="5">
        <v>500</v>
      </c>
      <c r="D10" s="4">
        <v>30</v>
      </c>
      <c r="E10" s="4">
        <f t="shared" si="3"/>
        <v>15000</v>
      </c>
      <c r="F10" s="6">
        <f t="shared" si="0"/>
        <v>1050</v>
      </c>
      <c r="G10" s="6">
        <f t="shared" si="1"/>
        <v>13950</v>
      </c>
      <c r="H10" s="4" t="str">
        <f t="shared" si="2"/>
        <v>Completa</v>
      </c>
    </row>
    <row r="11" spans="1:13">
      <c r="A11" s="3">
        <v>46170</v>
      </c>
      <c r="B11" s="4" t="s">
        <v>17</v>
      </c>
      <c r="C11" s="5">
        <v>34.25</v>
      </c>
      <c r="D11" s="4">
        <v>14</v>
      </c>
      <c r="E11" s="4">
        <f t="shared" si="3"/>
        <v>479.5</v>
      </c>
      <c r="F11" s="6">
        <f t="shared" si="0"/>
        <v>33.565000000000005</v>
      </c>
      <c r="G11" s="6">
        <f t="shared" si="1"/>
        <v>445.935</v>
      </c>
      <c r="H11" s="4" t="str">
        <f t="shared" si="2"/>
        <v/>
      </c>
    </row>
    <row r="12" spans="1:13">
      <c r="A12" s="4" t="s">
        <v>18</v>
      </c>
      <c r="B12" s="4">
        <f>MAX(D2:D11)</f>
        <v>100</v>
      </c>
      <c r="C12" s="4"/>
      <c r="D12" s="4"/>
      <c r="E12" s="4"/>
      <c r="F12" s="4"/>
      <c r="G12" s="4"/>
      <c r="H12" s="4"/>
    </row>
    <row r="13" spans="1:13">
      <c r="A13" s="4" t="s">
        <v>19</v>
      </c>
      <c r="B13" s="6">
        <f>AVERAGE(E2:E11)</f>
        <v>7420.8130000000001</v>
      </c>
      <c r="C13" s="4"/>
      <c r="D13" s="4"/>
      <c r="E13" s="4"/>
      <c r="F13" s="4"/>
      <c r="G13" s="4"/>
      <c r="H13" s="4"/>
    </row>
    <row r="14" spans="1:13">
      <c r="A14" s="4" t="s">
        <v>20</v>
      </c>
      <c r="B14" s="4">
        <f>SUMIF(A2:A11,A2,G2:G11)</f>
        <v>8027.6484</v>
      </c>
      <c r="C14" s="4"/>
      <c r="D14" s="4"/>
      <c r="E14" s="4"/>
      <c r="F14" s="4"/>
      <c r="G14" s="4"/>
      <c r="H14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2026-02-06T22:45:42Z</dcterms:created>
  <dcterms:modified xsi:type="dcterms:W3CDTF">2026-02-06T23:36:22Z</dcterms:modified>
  <cp:category/>
  <cp:contentStatus/>
</cp:coreProperties>
</file>