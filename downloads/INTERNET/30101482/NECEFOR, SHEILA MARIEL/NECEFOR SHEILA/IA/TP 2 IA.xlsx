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BBCB7F6E-25D6-442E-88E8-2C19254052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la-TP2-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H4" i="1"/>
  <c r="H5" i="1"/>
  <c r="H8" i="1"/>
  <c r="H9" i="1"/>
  <c r="H10" i="1"/>
  <c r="G4" i="1"/>
  <c r="G5" i="1"/>
  <c r="G8" i="1"/>
  <c r="G9" i="1"/>
  <c r="G10" i="1"/>
  <c r="G2" i="1"/>
  <c r="F4" i="1"/>
  <c r="F5" i="1"/>
  <c r="F8" i="1"/>
  <c r="F9" i="1"/>
  <c r="F10" i="1"/>
  <c r="F2" i="1"/>
  <c r="E3" i="1"/>
  <c r="E4" i="1"/>
  <c r="E5" i="1"/>
  <c r="E6" i="1"/>
  <c r="E7" i="1"/>
  <c r="E8" i="1"/>
  <c r="E9" i="1"/>
  <c r="E10" i="1"/>
  <c r="E11" i="1"/>
  <c r="E2" i="1"/>
  <c r="F6" i="1" l="1"/>
  <c r="G6" i="1" s="1"/>
  <c r="H6" i="1" s="1"/>
  <c r="F7" i="1"/>
  <c r="G7" i="1" s="1"/>
  <c r="H7" i="1" s="1"/>
  <c r="F3" i="1"/>
  <c r="G3" i="1" s="1"/>
  <c r="H3" i="1" s="1"/>
  <c r="F11" i="1"/>
  <c r="G11" i="1" s="1"/>
  <c r="H11" i="1" s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<sst xmlns="http://schemas.openxmlformats.org/spreadsheetml/2006/main" count="21" uniqueCount="21">
  <si>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</si>
  <si>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</si>
  <si>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</si>
  <si>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</si>
  <si>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</si>
  <si>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</si>
  <si>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</si>
  <si>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</si>
  <si>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Base líquida matte</t>
  </si>
  <si>
    <t>Corrector de ojeras</t>
  </si>
  <si>
    <t>Polvo compacto</t>
  </si>
  <si>
    <t>Rubor en polvo</t>
  </si>
  <si>
    <t>Paleta de sombras</t>
  </si>
  <si>
    <t>Labial mate</t>
  </si>
  <si>
    <t>Brillo labial</t>
  </si>
  <si>
    <t>Delineador líquido</t>
  </si>
  <si>
    <t>Máscara de pestañas</t>
  </si>
  <si>
    <t>Iluminador en crema</t>
  </si>
  <si>
    <t>producto mas vendido</t>
  </si>
  <si>
    <t>promedio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</si>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</sst>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M9" sqref="M9"/>
    </sheetView>
  </sheetViews>
  <sheetFormatPr defaultRowHeight="15"/>
  <cols>
    <col min="1" max="1" width="20.42578125" bestFit="1" customWidth="1"/>
    <col min="2" max="2" width="19.140625" bestFit="1" customWidth="1"/>
    <col min="3" max="3" width="14.140625" bestFit="1" customWidth="1"/>
    <col min="4" max="4" width="16.7109375" bestFit="1" customWidth="1"/>
    <col min="5" max="5" width="12" bestFit="1" customWidth="1"/>
    <col min="6" max="6" width="15.28515625" bestFit="1" customWidth="1"/>
    <col min="7" max="7" width="12.5703125" bestFit="1" customWidth="1"/>
    <col min="8" max="8" width="15.2851562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>
      <c r="A2" s="4">
        <v>46054</v>
      </c>
      <c r="B2" s="1" t="s">
        <v>8</v>
      </c>
      <c r="C2" s="1">
        <v>18</v>
      </c>
      <c r="D2" s="1">
        <v>12</v>
      </c>
      <c r="E2" s="1">
        <f>(C2*D2)</f>
        <v>216</v>
      </c>
      <c r="F2" s="2">
        <f>E2*$M$9</f>
        <v>15.120000000000001</v>
      </c>
      <c r="G2" s="2">
        <f>E2-F2</f>
        <v>200.88</v>
      </c>
      <c r="H2" s="1"/>
    </row>
    <row r="3" spans="1:13">
      <c r="A3" s="4">
        <v>46054</v>
      </c>
      <c r="B3" s="1" t="s">
        <v>9</v>
      </c>
      <c r="C3" s="1">
        <v>9</v>
      </c>
      <c r="D3" s="1">
        <v>50</v>
      </c>
      <c r="E3" s="1">
        <f t="shared" ref="E3:E11" si="0">(C3*D3)</f>
        <v>450</v>
      </c>
      <c r="F3" s="2">
        <f t="shared" ref="F3:F11" si="1">E3*$M$9</f>
        <v>31.500000000000004</v>
      </c>
      <c r="G3" s="2">
        <f t="shared" ref="G3:G11" si="2">E3-F3</f>
        <v>418.5</v>
      </c>
      <c r="H3" s="1" t="str">
        <f t="shared" ref="H3:H11" si="3">IF(AND(G3&gt;1000,D3&gt;15),"Completa","")</f>
        <v/>
      </c>
    </row>
    <row r="4" spans="1:13">
      <c r="A4" s="4">
        <v>46055</v>
      </c>
      <c r="B4" s="1" t="s">
        <v>10</v>
      </c>
      <c r="C4" s="1">
        <v>11</v>
      </c>
      <c r="D4" s="1">
        <v>15</v>
      </c>
      <c r="E4" s="1">
        <f t="shared" si="0"/>
        <v>165</v>
      </c>
      <c r="F4" s="2">
        <f t="shared" si="1"/>
        <v>11.55</v>
      </c>
      <c r="G4" s="2">
        <f t="shared" si="2"/>
        <v>153.44999999999999</v>
      </c>
      <c r="H4" s="1" t="str">
        <f t="shared" si="3"/>
        <v/>
      </c>
    </row>
    <row r="5" spans="1:13">
      <c r="A5" s="4">
        <v>46055</v>
      </c>
      <c r="B5" s="1" t="s">
        <v>11</v>
      </c>
      <c r="C5" s="1">
        <v>9</v>
      </c>
      <c r="D5" s="1">
        <v>10</v>
      </c>
      <c r="E5" s="1">
        <f t="shared" si="0"/>
        <v>90</v>
      </c>
      <c r="F5" s="2">
        <f t="shared" si="1"/>
        <v>6.3000000000000007</v>
      </c>
      <c r="G5" s="2">
        <f t="shared" si="2"/>
        <v>83.7</v>
      </c>
      <c r="H5" s="1" t="str">
        <f t="shared" si="3"/>
        <v/>
      </c>
    </row>
    <row r="6" spans="1:13">
      <c r="A6" s="4">
        <v>46056</v>
      </c>
      <c r="B6" s="1" t="s">
        <v>12</v>
      </c>
      <c r="C6" s="1">
        <v>22</v>
      </c>
      <c r="D6" s="1">
        <v>87</v>
      </c>
      <c r="E6" s="1">
        <f t="shared" si="0"/>
        <v>1914</v>
      </c>
      <c r="F6" s="2">
        <f t="shared" si="1"/>
        <v>133.98000000000002</v>
      </c>
      <c r="G6" s="2">
        <f t="shared" si="2"/>
        <v>1780.02</v>
      </c>
      <c r="H6" s="1" t="str">
        <f t="shared" si="3"/>
        <v>Completa</v>
      </c>
    </row>
    <row r="7" spans="1:13">
      <c r="A7" s="4">
        <v>46056</v>
      </c>
      <c r="B7" s="1" t="s">
        <v>13</v>
      </c>
      <c r="C7" s="1">
        <v>7</v>
      </c>
      <c r="D7" s="1">
        <v>9</v>
      </c>
      <c r="E7" s="1">
        <f t="shared" si="0"/>
        <v>63</v>
      </c>
      <c r="F7" s="2">
        <f t="shared" si="1"/>
        <v>4.41</v>
      </c>
      <c r="G7" s="2">
        <f t="shared" si="2"/>
        <v>58.59</v>
      </c>
      <c r="H7" s="1" t="str">
        <f t="shared" si="3"/>
        <v/>
      </c>
    </row>
    <row r="8" spans="1:13">
      <c r="A8" s="4">
        <v>46057</v>
      </c>
      <c r="B8" s="1" t="s">
        <v>14</v>
      </c>
      <c r="C8" s="1">
        <v>7</v>
      </c>
      <c r="D8" s="1">
        <v>18</v>
      </c>
      <c r="E8" s="1">
        <f t="shared" si="0"/>
        <v>126</v>
      </c>
      <c r="F8" s="2">
        <f t="shared" si="1"/>
        <v>8.82</v>
      </c>
      <c r="G8" s="2">
        <f t="shared" si="2"/>
        <v>117.18</v>
      </c>
      <c r="H8" s="1" t="str">
        <f t="shared" si="3"/>
        <v/>
      </c>
    </row>
    <row r="9" spans="1:13">
      <c r="A9" s="4">
        <v>46057</v>
      </c>
      <c r="B9" s="1" t="s">
        <v>15</v>
      </c>
      <c r="C9" s="1">
        <v>6</v>
      </c>
      <c r="D9" s="1">
        <v>22</v>
      </c>
      <c r="E9" s="1">
        <f t="shared" si="0"/>
        <v>132</v>
      </c>
      <c r="F9" s="2">
        <f t="shared" si="1"/>
        <v>9.24</v>
      </c>
      <c r="G9" s="2">
        <f t="shared" si="2"/>
        <v>122.76</v>
      </c>
      <c r="H9" s="1" t="str">
        <f t="shared" si="3"/>
        <v/>
      </c>
      <c r="M9" s="2">
        <v>7.0000000000000007E-2</v>
      </c>
    </row>
    <row r="10" spans="1:13">
      <c r="A10" s="4">
        <v>46058</v>
      </c>
      <c r="B10" s="1" t="s">
        <v>16</v>
      </c>
      <c r="C10" s="1">
        <v>10</v>
      </c>
      <c r="D10" s="1">
        <v>14</v>
      </c>
      <c r="E10" s="1">
        <f t="shared" si="0"/>
        <v>140</v>
      </c>
      <c r="F10" s="2">
        <f t="shared" si="1"/>
        <v>9.8000000000000007</v>
      </c>
      <c r="G10" s="2">
        <f t="shared" si="2"/>
        <v>130.19999999999999</v>
      </c>
      <c r="H10" s="1" t="str">
        <f t="shared" si="3"/>
        <v/>
      </c>
    </row>
    <row r="11" spans="1:13">
      <c r="A11" s="4">
        <v>46058</v>
      </c>
      <c r="B11" s="1" t="s">
        <v>17</v>
      </c>
      <c r="C11" s="1">
        <v>12</v>
      </c>
      <c r="D11" s="1">
        <v>90</v>
      </c>
      <c r="E11" s="1">
        <f t="shared" si="0"/>
        <v>1080</v>
      </c>
      <c r="F11" s="2">
        <f t="shared" si="1"/>
        <v>75.600000000000009</v>
      </c>
      <c r="G11" s="2">
        <f t="shared" si="2"/>
        <v>1004.4</v>
      </c>
      <c r="H11" s="1" t="str">
        <f t="shared" si="3"/>
        <v>Completa</v>
      </c>
    </row>
    <row r="14" spans="1:13">
      <c r="A14" s="1" t="s">
        <v>18</v>
      </c>
      <c r="B14" s="1">
        <f>MAX(D2:D11)</f>
        <v>90</v>
      </c>
    </row>
    <row r="15" spans="1:13">
      <c r="A15" s="1" t="s">
        <v>19</v>
      </c>
      <c r="B15" s="2">
        <f>AVERAGE(G2:G11)</f>
        <v>406.96800000000002</v>
      </c>
    </row>
    <row r="16" spans="1:13">
      <c r="A16" s="1" t="s">
        <v>20</v>
      </c>
      <c r="B16" s="1">
        <f>SUMIF(A2:A11,A2,G2:G11)</f>
        <v>619.38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2026-02-06T00:41:42Z</dcterms:created>
  <dcterms:modified xsi:type="dcterms:W3CDTF">2026-02-06T02:15:12Z</dcterms:modified>
  <cp:category/>
  <cp:contentStatus/>
</cp:coreProperties>
</file>