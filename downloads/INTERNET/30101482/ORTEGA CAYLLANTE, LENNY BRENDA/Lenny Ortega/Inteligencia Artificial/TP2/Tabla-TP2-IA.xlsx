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781BEE9B-5C55-4D52-996C-890AD6B70C5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<sst xmlns="http://schemas.openxmlformats.org/spreadsheetml/2006/main" count="21" uniqueCount="21">
  <si>
    <t>Fecha</t>
  </si>
  <si>
    <t>Producto</t>
  </si>
  <si>
    <t>Precio Unitario</t>
  </si>
  <si>
    <t>Cantidad Vendida</t>
  </si>
  <si>
    <t>Total Ventas</t>
  </si>
  <si>
    <t>Total Descuento</t>
  </si>
  <si>
    <t>Ventas Netas</t>
  </si>
  <si>
    <t>Estado de Venta</t>
  </si>
  <si>
    <t>Leche La Serenísima 1L</t>
  </si>
  <si>
    <t>Pan Lactal Bimbo</t>
  </si>
  <si>
    <t>Yogur Yogurísimo Natural 900 g</t>
  </si>
  <si>
    <t>Arroz Gallo Oro 1 kg</t>
  </si>
  <si>
    <t>Fideos Matarazzo 500 g</t>
  </si>
  <si>
    <t>Aceite Natura 900 ml</t>
  </si>
  <si>
    <t>Azúcar Ledesma 1 kg</t>
  </si>
  <si>
    <t>Galletitas Chocolinas</t>
  </si>
  <si>
    <t>Queso Cremoso La Paulina 500 g</t>
  </si>
  <si>
    <t>Café La Virginia 250 g</t>
  </si>
  <si>
    <t>Producto mas Vendido</t>
  </si>
  <si>
    <t>Promedio de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</si>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</sst>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2C0A]\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9" fontId="0" fillId="0" borderId="0" xfId="0" applyNumberFormat="1"/>
    <xf numFmtId="165" fontId="0" fillId="0" borderId="2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B15" sqref="B15"/>
    </sheetView>
  </sheetViews>
  <sheetFormatPr defaultRowHeight="15"/>
  <cols>
    <col min="1" max="1" width="20.85546875" customWidth="1"/>
    <col min="2" max="2" width="29.28515625" bestFit="1" customWidth="1"/>
    <col min="3" max="3" width="14.7109375" customWidth="1"/>
    <col min="4" max="4" width="16.7109375" bestFit="1" customWidth="1"/>
    <col min="5" max="5" width="12.140625" bestFit="1" customWidth="1"/>
    <col min="6" max="6" width="15" bestFit="1" customWidth="1"/>
    <col min="7" max="7" width="12.42578125" bestFit="1" customWidth="1"/>
    <col min="8" max="8" width="15" bestFit="1" customWidth="1"/>
  </cols>
  <sheetData>
    <row r="1" spans="1:13" ht="33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13">
      <c r="A2" s="5">
        <v>46027</v>
      </c>
      <c r="B2" s="6" t="s">
        <v>8</v>
      </c>
      <c r="C2" s="7">
        <v>1200</v>
      </c>
      <c r="D2" s="6">
        <v>15</v>
      </c>
      <c r="E2" s="9">
        <f>C2*D2</f>
        <v>18000</v>
      </c>
      <c r="F2" s="9">
        <f>E2*$M$9</f>
        <v>1260.0000000000002</v>
      </c>
      <c r="G2" s="9">
        <f>E2-F2</f>
        <v>16740</v>
      </c>
      <c r="H2" s="9" t="str">
        <f>IF(AND(G2&gt;1000,D2&gt;15),"Completa","Incompleta")</f>
        <v>Incompleta</v>
      </c>
    </row>
    <row r="3" spans="1:13">
      <c r="A3" s="5">
        <v>46027</v>
      </c>
      <c r="B3" s="6" t="s">
        <v>9</v>
      </c>
      <c r="C3" s="7">
        <v>2300</v>
      </c>
      <c r="D3" s="6">
        <v>8</v>
      </c>
      <c r="E3" s="9">
        <f t="shared" ref="E3:E11" si="0">C3*D3</f>
        <v>18400</v>
      </c>
      <c r="F3" s="9">
        <f t="shared" ref="F3:F11" si="1">E3*$M$9</f>
        <v>1288.0000000000002</v>
      </c>
      <c r="G3" s="9">
        <f t="shared" ref="G3:G11" si="2">E3-F3</f>
        <v>17112</v>
      </c>
      <c r="H3" s="9" t="str">
        <f t="shared" ref="H3:H11" si="3">IF(AND(G3&gt;1000,D3&gt;15),"Completa","Incompleta")</f>
        <v>Incompleta</v>
      </c>
    </row>
    <row r="4" spans="1:13">
      <c r="A4" s="5">
        <v>46028</v>
      </c>
      <c r="B4" s="6" t="s">
        <v>10</v>
      </c>
      <c r="C4" s="7">
        <v>1800</v>
      </c>
      <c r="D4" s="6">
        <v>10</v>
      </c>
      <c r="E4" s="9">
        <f t="shared" si="0"/>
        <v>18000</v>
      </c>
      <c r="F4" s="9">
        <f t="shared" si="1"/>
        <v>1260.0000000000002</v>
      </c>
      <c r="G4" s="9">
        <f t="shared" si="2"/>
        <v>16740</v>
      </c>
      <c r="H4" s="9" t="str">
        <f t="shared" si="3"/>
        <v>Incompleta</v>
      </c>
    </row>
    <row r="5" spans="1:13">
      <c r="A5" s="5">
        <v>46028</v>
      </c>
      <c r="B5" s="6" t="s">
        <v>11</v>
      </c>
      <c r="C5" s="7">
        <v>1400</v>
      </c>
      <c r="D5" s="6">
        <v>12</v>
      </c>
      <c r="E5" s="9">
        <f t="shared" si="0"/>
        <v>16800</v>
      </c>
      <c r="F5" s="9">
        <f t="shared" si="1"/>
        <v>1176</v>
      </c>
      <c r="G5" s="9">
        <f t="shared" si="2"/>
        <v>15624</v>
      </c>
      <c r="H5" s="9" t="str">
        <f t="shared" si="3"/>
        <v>Incompleta</v>
      </c>
    </row>
    <row r="6" spans="1:13">
      <c r="A6" s="5">
        <v>46029</v>
      </c>
      <c r="B6" s="6" t="s">
        <v>12</v>
      </c>
      <c r="C6" s="6">
        <v>900</v>
      </c>
      <c r="D6" s="6">
        <v>20</v>
      </c>
      <c r="E6" s="9">
        <f t="shared" si="0"/>
        <v>18000</v>
      </c>
      <c r="F6" s="9">
        <f t="shared" si="1"/>
        <v>1260.0000000000002</v>
      </c>
      <c r="G6" s="9">
        <f t="shared" si="2"/>
        <v>16740</v>
      </c>
      <c r="H6" s="9" t="str">
        <f t="shared" si="3"/>
        <v>Completa</v>
      </c>
    </row>
    <row r="7" spans="1:13">
      <c r="A7" s="5">
        <v>46029</v>
      </c>
      <c r="B7" s="6" t="s">
        <v>13</v>
      </c>
      <c r="C7" s="7">
        <v>3500</v>
      </c>
      <c r="D7" s="6">
        <v>6</v>
      </c>
      <c r="E7" s="9">
        <f t="shared" si="0"/>
        <v>21000</v>
      </c>
      <c r="F7" s="9">
        <f t="shared" si="1"/>
        <v>1470.0000000000002</v>
      </c>
      <c r="G7" s="9">
        <f t="shared" si="2"/>
        <v>19530</v>
      </c>
      <c r="H7" s="9" t="str">
        <f t="shared" si="3"/>
        <v>Incompleta</v>
      </c>
    </row>
    <row r="8" spans="1:13">
      <c r="A8" s="5">
        <v>46030</v>
      </c>
      <c r="B8" s="6" t="s">
        <v>14</v>
      </c>
      <c r="C8" s="7">
        <v>1100</v>
      </c>
      <c r="D8" s="6">
        <v>14</v>
      </c>
      <c r="E8" s="9">
        <f t="shared" si="0"/>
        <v>15400</v>
      </c>
      <c r="F8" s="9">
        <f t="shared" si="1"/>
        <v>1078</v>
      </c>
      <c r="G8" s="9">
        <f t="shared" si="2"/>
        <v>14322</v>
      </c>
      <c r="H8" s="9" t="str">
        <f t="shared" si="3"/>
        <v>Incompleta</v>
      </c>
    </row>
    <row r="9" spans="1:13">
      <c r="A9" s="5">
        <v>46030</v>
      </c>
      <c r="B9" s="6" t="s">
        <v>15</v>
      </c>
      <c r="C9" s="7">
        <v>1600</v>
      </c>
      <c r="D9" s="6">
        <v>9</v>
      </c>
      <c r="E9" s="9">
        <f t="shared" si="0"/>
        <v>14400</v>
      </c>
      <c r="F9" s="9">
        <f t="shared" si="1"/>
        <v>1008.0000000000001</v>
      </c>
      <c r="G9" s="9">
        <f t="shared" si="2"/>
        <v>13392</v>
      </c>
      <c r="H9" s="9" t="str">
        <f t="shared" si="3"/>
        <v>Incompleta</v>
      </c>
      <c r="M9" s="8">
        <v>7.0000000000000007E-2</v>
      </c>
    </row>
    <row r="10" spans="1:13">
      <c r="A10" s="5">
        <v>46031</v>
      </c>
      <c r="B10" s="6" t="s">
        <v>16</v>
      </c>
      <c r="C10" s="7">
        <v>4200</v>
      </c>
      <c r="D10" s="6">
        <v>5</v>
      </c>
      <c r="E10" s="9">
        <f t="shared" si="0"/>
        <v>21000</v>
      </c>
      <c r="F10" s="9">
        <f t="shared" si="1"/>
        <v>1470.0000000000002</v>
      </c>
      <c r="G10" s="9">
        <f t="shared" si="2"/>
        <v>19530</v>
      </c>
      <c r="H10" s="9" t="str">
        <f t="shared" si="3"/>
        <v>Incompleta</v>
      </c>
    </row>
    <row r="11" spans="1:13">
      <c r="A11" s="5">
        <v>46031</v>
      </c>
      <c r="B11" s="6" t="s">
        <v>17</v>
      </c>
      <c r="C11" s="7">
        <v>5000</v>
      </c>
      <c r="D11" s="6">
        <v>4</v>
      </c>
      <c r="E11" s="9">
        <f t="shared" si="0"/>
        <v>20000</v>
      </c>
      <c r="F11" s="9">
        <f t="shared" si="1"/>
        <v>1400.0000000000002</v>
      </c>
      <c r="G11" s="9">
        <f t="shared" si="2"/>
        <v>18600</v>
      </c>
      <c r="H11" s="9" t="str">
        <f t="shared" si="3"/>
        <v>Incompleta</v>
      </c>
    </row>
    <row r="12" spans="1:13" ht="15.75" customHeight="1">
      <c r="A12" s="10" t="s">
        <v>18</v>
      </c>
      <c r="B12" s="11">
        <f>MAX(D2:D11)</f>
        <v>20</v>
      </c>
      <c r="C12" s="11"/>
      <c r="D12" s="11"/>
      <c r="E12" s="11"/>
      <c r="F12" s="11"/>
      <c r="G12" s="11"/>
      <c r="H12" s="11"/>
    </row>
    <row r="13" spans="1:13" ht="15" customHeight="1">
      <c r="A13" s="10" t="s">
        <v>19</v>
      </c>
      <c r="B13" s="12">
        <f>AVERAGE(G2:G11)</f>
        <v>16833</v>
      </c>
      <c r="C13" s="10"/>
      <c r="D13" s="10"/>
      <c r="E13" s="10"/>
      <c r="F13" s="10"/>
      <c r="G13" s="10"/>
      <c r="H13" s="10"/>
    </row>
    <row r="14" spans="1:13" ht="15" customHeight="1">
      <c r="A14" s="10" t="s">
        <v>20</v>
      </c>
      <c r="B14" s="11">
        <f>SUMIF(A2:A11,A2,G2:G11)</f>
        <v>33852</v>
      </c>
      <c r="C14" s="10"/>
      <c r="D14" s="10"/>
      <c r="E14" s="10"/>
      <c r="F14" s="10"/>
      <c r="G14" s="10"/>
      <c r="H14" s="10"/>
    </row>
    <row r="15" spans="1:13">
      <c r="B1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2026-02-07T12:53:59Z</dcterms:created>
  <dcterms:modified xsi:type="dcterms:W3CDTF">2026-02-07T21:54:52Z</dcterms:modified>
  <cp:category/>
  <cp:contentStatus/>
</cp:coreProperties>
</file>