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filterPrivacy="1" defaultThemeVersion="166925"/>
  <xr:revisionPtr revIDLastSave="0" documentId="8_{1CE5FDA2-7781-4D8B-A914-8326FC0F0C92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<sst xmlns="http://schemas.openxmlformats.org/spreadsheetml/2006/main" count="21" uniqueCount="21">
  <si>
    <t>Fecha</t>
  </si>
  <si>
    <t>Producto</t>
  </si>
  <si>
    <t>Precio unitario (usd)</t>
  </si>
  <si>
    <t>Cantidad vendida</t>
  </si>
  <si>
    <t>Total ventas</t>
  </si>
  <si>
    <t>Total descuento</t>
  </si>
  <si>
    <t>Ventas netas</t>
  </si>
  <si>
    <t>Estado de venta*</t>
  </si>
  <si>
    <t>Camiseta Nike Dri-FIT</t>
  </si>
  <si>
    <t>Jeans Levi’s 501 Original</t>
  </si>
  <si>
    <t>Sudadera Adidas Essentials</t>
  </si>
  <si>
    <t>Chaqueta Zara Basic</t>
  </si>
  <si>
    <t>Vestido H&amp;M Midi</t>
  </si>
  <si>
    <t>Polo Lacoste Classic Fit</t>
  </si>
  <si>
    <t>Pantalón deportivo Puma</t>
  </si>
  <si>
    <t>Camisa Tommy Hilfiger Slim Fit</t>
  </si>
  <si>
    <t>Falda Stradivarius Plisada</t>
  </si>
  <si>
    <t>Abrigo Uniqlo Ultra Light Down</t>
  </si>
  <si>
    <t>Producto Más Vendido</t>
  </si>
  <si>
    <t>Promedio de Ventas.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</si>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</sst>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164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 applyBorder="1"/>
    <xf numFmtId="164" fontId="0" fillId="0" borderId="3" xfId="0" applyNumberFormat="1" applyBorder="1"/>
    <xf numFmtId="0" fontId="0" fillId="0" borderId="0" xfId="0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/>
    <xf numFmtId="9" fontId="0" fillId="0" borderId="0" xfId="0" applyNumberFormat="1"/>
    <xf numFmtId="0" fontId="0" fillId="2" borderId="1" xfId="0" applyFill="1" applyBorder="1"/>
    <xf numFmtId="164" fontId="0" fillId="0" borderId="0" xfId="0" applyNumberFormat="1"/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M17"/>
  <sheetViews>
    <sheetView tabSelected="1" workbookViewId="0">
      <selection activeCell="H1" sqref="H1:H1048576"/>
    </sheetView>
  </sheetViews>
  <sheetFormatPr defaultColWidth="11.42578125" defaultRowHeight="15"/>
  <cols>
    <col min="1" max="1" width="20.7109375" customWidth="1"/>
    <col min="2" max="2" width="28.140625" bestFit="1" customWidth="1"/>
    <col min="3" max="3" width="31.5703125" customWidth="1"/>
    <col min="4" max="4" width="21.7109375" customWidth="1"/>
    <col min="5" max="5" width="21" customWidth="1"/>
    <col min="6" max="6" width="16.42578125" customWidth="1"/>
    <col min="7" max="7" width="17" customWidth="1"/>
    <col min="8" max="8" width="18" style="1" customWidth="1"/>
    <col min="9" max="9" width="17" customWidth="1"/>
    <col min="10" max="10" width="35.28515625" bestFit="1" customWidth="1"/>
  </cols>
  <sheetData>
    <row r="1" spans="1:13" ht="35.25" customHeight="1">
      <c r="A1" s="10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M1" s="13">
        <v>7.0000000000000007E-2</v>
      </c>
    </row>
    <row r="2" spans="1:13" ht="23.25" customHeight="1">
      <c r="A2" s="2">
        <v>45662</v>
      </c>
      <c r="B2" s="3" t="s">
        <v>8</v>
      </c>
      <c r="C2" s="4">
        <v>35</v>
      </c>
      <c r="D2" s="5">
        <v>18</v>
      </c>
      <c r="E2" s="6">
        <f>C2*D2</f>
        <v>630</v>
      </c>
      <c r="F2" s="6">
        <f>E2*7%</f>
        <v>44.1</v>
      </c>
      <c r="G2" s="6">
        <f>E2-F2</f>
        <v>585.9</v>
      </c>
      <c r="H2" s="16" t="str">
        <f>IF(AND(G2&gt;1000,D2&gt;15),"Completa","No completa")</f>
        <v>No completa</v>
      </c>
    </row>
    <row r="3" spans="1:13">
      <c r="A3" s="2">
        <v>45663</v>
      </c>
      <c r="B3" s="3" t="s">
        <v>9</v>
      </c>
      <c r="C3" s="4">
        <v>89.99</v>
      </c>
      <c r="D3" s="5">
        <v>7</v>
      </c>
      <c r="E3" s="6">
        <f t="shared" ref="E3:E12" si="0">C3*D3</f>
        <v>629.92999999999995</v>
      </c>
      <c r="F3" s="6">
        <f t="shared" ref="F3:F11" si="1">E3*7%</f>
        <v>44.095100000000002</v>
      </c>
      <c r="G3" s="6">
        <f t="shared" ref="G3:G11" si="2">E3-F3</f>
        <v>585.83489999999995</v>
      </c>
      <c r="H3" s="16" t="str">
        <f t="shared" ref="H3:H11" si="3">IF(AND(G3&gt;1000,D3&gt;15),"Completa","No completa")</f>
        <v>No completa</v>
      </c>
      <c r="J3" s="12"/>
    </row>
    <row r="4" spans="1:13">
      <c r="A4" s="2">
        <v>45664</v>
      </c>
      <c r="B4" s="3" t="s">
        <v>10</v>
      </c>
      <c r="C4" s="4">
        <v>65</v>
      </c>
      <c r="D4" s="5">
        <v>12</v>
      </c>
      <c r="E4" s="6">
        <f t="shared" si="0"/>
        <v>780</v>
      </c>
      <c r="F4" s="6">
        <f t="shared" si="1"/>
        <v>54.600000000000009</v>
      </c>
      <c r="G4" s="6">
        <f t="shared" si="2"/>
        <v>725.4</v>
      </c>
      <c r="H4" s="16" t="str">
        <f t="shared" si="3"/>
        <v>No completa</v>
      </c>
      <c r="J4" s="12"/>
    </row>
    <row r="5" spans="1:13">
      <c r="A5" s="2">
        <v>45665</v>
      </c>
      <c r="B5" s="3" t="s">
        <v>11</v>
      </c>
      <c r="C5" s="4">
        <v>59.9</v>
      </c>
      <c r="D5" s="5">
        <v>9</v>
      </c>
      <c r="E5" s="6">
        <f t="shared" si="0"/>
        <v>539.1</v>
      </c>
      <c r="F5" s="6">
        <f t="shared" si="1"/>
        <v>37.737000000000002</v>
      </c>
      <c r="G5" s="6">
        <f t="shared" si="2"/>
        <v>501.363</v>
      </c>
      <c r="H5" s="16" t="str">
        <f t="shared" si="3"/>
        <v>No completa</v>
      </c>
      <c r="J5" s="12"/>
    </row>
    <row r="6" spans="1:13">
      <c r="A6" s="2">
        <v>45666</v>
      </c>
      <c r="B6" s="3" t="s">
        <v>12</v>
      </c>
      <c r="C6" s="4">
        <v>39.99</v>
      </c>
      <c r="D6" s="5">
        <v>14</v>
      </c>
      <c r="E6" s="6">
        <f t="shared" si="0"/>
        <v>559.86</v>
      </c>
      <c r="F6" s="6">
        <f t="shared" si="1"/>
        <v>39.190200000000004</v>
      </c>
      <c r="G6" s="6">
        <f t="shared" si="2"/>
        <v>520.66980000000001</v>
      </c>
      <c r="H6" s="16" t="str">
        <f t="shared" si="3"/>
        <v>No completa</v>
      </c>
    </row>
    <row r="7" spans="1:13">
      <c r="A7" s="2">
        <v>45667</v>
      </c>
      <c r="B7" s="3" t="s">
        <v>13</v>
      </c>
      <c r="C7" s="4">
        <v>110</v>
      </c>
      <c r="D7" s="5">
        <v>5</v>
      </c>
      <c r="E7" s="6">
        <f t="shared" si="0"/>
        <v>550</v>
      </c>
      <c r="F7" s="6">
        <f t="shared" si="1"/>
        <v>38.500000000000007</v>
      </c>
      <c r="G7" s="6">
        <f t="shared" si="2"/>
        <v>511.5</v>
      </c>
      <c r="H7" s="16" t="str">
        <f t="shared" si="3"/>
        <v>No completa</v>
      </c>
    </row>
    <row r="8" spans="1:13">
      <c r="A8" s="2">
        <v>45668</v>
      </c>
      <c r="B8" s="3" t="s">
        <v>14</v>
      </c>
      <c r="C8" s="4">
        <v>55</v>
      </c>
      <c r="D8" s="5">
        <v>11</v>
      </c>
      <c r="E8" s="6">
        <f t="shared" si="0"/>
        <v>605</v>
      </c>
      <c r="F8" s="6">
        <f t="shared" si="1"/>
        <v>42.35</v>
      </c>
      <c r="G8" s="6">
        <f t="shared" si="2"/>
        <v>562.65</v>
      </c>
      <c r="H8" s="16" t="str">
        <f t="shared" si="3"/>
        <v>No completa</v>
      </c>
    </row>
    <row r="9" spans="1:13">
      <c r="A9" s="2">
        <v>45669</v>
      </c>
      <c r="B9" s="3" t="s">
        <v>15</v>
      </c>
      <c r="C9" s="4">
        <v>79</v>
      </c>
      <c r="D9" s="5">
        <v>6</v>
      </c>
      <c r="E9" s="6">
        <f t="shared" si="0"/>
        <v>474</v>
      </c>
      <c r="F9" s="6">
        <f t="shared" si="1"/>
        <v>33.18</v>
      </c>
      <c r="G9" s="6">
        <f t="shared" si="2"/>
        <v>440.82</v>
      </c>
      <c r="H9" s="16" t="str">
        <f t="shared" si="3"/>
        <v>No completa</v>
      </c>
    </row>
    <row r="10" spans="1:13">
      <c r="A10" s="2">
        <v>45670</v>
      </c>
      <c r="B10" s="3" t="s">
        <v>16</v>
      </c>
      <c r="C10" s="4">
        <v>29.95</v>
      </c>
      <c r="D10" s="5">
        <v>16</v>
      </c>
      <c r="E10" s="8">
        <f t="shared" si="0"/>
        <v>479.2</v>
      </c>
      <c r="F10" s="6">
        <f t="shared" si="1"/>
        <v>33.544000000000004</v>
      </c>
      <c r="G10" s="6">
        <f t="shared" si="2"/>
        <v>445.65600000000001</v>
      </c>
      <c r="H10" s="16" t="str">
        <f t="shared" si="3"/>
        <v>No completa</v>
      </c>
    </row>
    <row r="11" spans="1:13">
      <c r="A11" s="2">
        <v>45671</v>
      </c>
      <c r="B11" s="3" t="s">
        <v>17</v>
      </c>
      <c r="C11" s="4">
        <v>129.9</v>
      </c>
      <c r="D11" s="5">
        <v>4</v>
      </c>
      <c r="E11" s="6">
        <f t="shared" si="0"/>
        <v>519.6</v>
      </c>
      <c r="F11" s="6">
        <f t="shared" si="1"/>
        <v>36.372000000000007</v>
      </c>
      <c r="G11" s="6">
        <f t="shared" si="2"/>
        <v>483.22800000000001</v>
      </c>
      <c r="H11" s="16" t="str">
        <f t="shared" si="3"/>
        <v>No completa</v>
      </c>
    </row>
    <row r="12" spans="1:13">
      <c r="E12" s="7"/>
    </row>
    <row r="14" spans="1:13">
      <c r="F14" s="9"/>
    </row>
    <row r="15" spans="1:13">
      <c r="A15" s="14" t="s">
        <v>18</v>
      </c>
    </row>
    <row r="16" spans="1:13">
      <c r="A16" s="14" t="s">
        <v>19</v>
      </c>
      <c r="B16" s="15">
        <f>AVERAGE(G2:G11)</f>
        <v>536.30217000000005</v>
      </c>
    </row>
    <row r="17" spans="1:1">
      <c r="A17" s="14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2026-02-04T21:05:47Z</dcterms:created>
  <dcterms:modified xsi:type="dcterms:W3CDTF">2026-02-04T21:57:31Z</dcterms:modified>
  <cp:category/>
  <cp:contentStatus/>
</cp:coreProperties>
</file>