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filterPrivacy="1" defaultThemeVersion="166925"/>
  <xr:revisionPtr revIDLastSave="0" documentId="8_{773569A2-6EEE-48B1-81F0-C29A08FA6827}" xr6:coauthVersionLast="47" xr6:coauthVersionMax="47" xr10:uidLastSave="{00000000-0000-0000-0000-000000000000}"/>
  <bookViews>
    <workbookView xWindow="0" yWindow="0" windowWidth="28560" windowHeight="13905" xr2:uid="{A22C7B05-6B0A-4116-A99A-60EDDEA67682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14" i="1"/>
  <c r="B13" i="1"/>
  <c r="H11" i="1"/>
  <c r="H10" i="1"/>
  <c r="H9" i="1"/>
  <c r="H8" i="1"/>
  <c r="H7" i="1"/>
  <c r="H6" i="1"/>
  <c r="H5" i="1"/>
  <c r="H4" i="1"/>
  <c r="H3" i="1"/>
  <c r="H2" i="1"/>
  <c r="G11" i="1"/>
  <c r="G10" i="1"/>
  <c r="G9" i="1"/>
  <c r="G8" i="1"/>
  <c r="G7" i="1"/>
  <c r="G6" i="1"/>
  <c r="G5" i="1"/>
  <c r="G4" i="1"/>
  <c r="G3" i="1"/>
  <c r="G2" i="1"/>
  <c r="E2" i="1"/>
  <c r="F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</calcChain>
</file>

<file path=xl/sharedStrings.xml><?xml version="1.0" encoding="utf-8"?>
<sst xmlns="http://schemas.openxmlformats.org/spreadsheetml/2006/main" count="31" uniqueCount="26">
  <si>
    <t xml:space="preserve">Fecha </t>
  </si>
  <si>
    <t>Producto</t>
  </si>
  <si>
    <t>Precio Unitario</t>
  </si>
  <si>
    <t>Cantidad Vendida</t>
  </si>
  <si>
    <t>Total ventas</t>
  </si>
  <si>
    <t>Total descuentos</t>
  </si>
  <si>
    <t>Ventas Netas</t>
  </si>
  <si>
    <t>Estado de Venta</t>
  </si>
  <si>
    <t xml:space="preserve">01/02/2026   </t>
  </si>
  <si>
    <t xml:space="preserve"> Leche La Serenísima  </t>
  </si>
  <si>
    <t xml:space="preserve"> Pan Lactal Bimbo     </t>
  </si>
  <si>
    <t xml:space="preserve">02/02/2026   </t>
  </si>
  <si>
    <t xml:space="preserve"> Arroz Gallo 1kg      </t>
  </si>
  <si>
    <t xml:space="preserve"> Fideos Matarazzo     </t>
  </si>
  <si>
    <t xml:space="preserve">03/02/2026   </t>
  </si>
  <si>
    <t xml:space="preserve"> Aceite Cocinero 900ml</t>
  </si>
  <si>
    <t xml:space="preserve"> Azúcar Ledesma 1kg   </t>
  </si>
  <si>
    <t xml:space="preserve">04/02/2026   </t>
  </si>
  <si>
    <t xml:space="preserve"> Yerba Playadito 1kg  </t>
  </si>
  <si>
    <t xml:space="preserve"> Galletitas Oreo      </t>
  </si>
  <si>
    <t xml:space="preserve">05/02/2026   </t>
  </si>
  <si>
    <t xml:space="preserve"> Queso Cremoso La Paulina </t>
  </si>
  <si>
    <t xml:space="preserve"> Agua Villavicencio 2L</t>
  </si>
  <si>
    <t>Producto más vendido</t>
  </si>
  <si>
    <t>Promedio de ventas</t>
  </si>
  <si>
    <t>Ventas por 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</si>
</sst>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,##0.00\ &quot;€&quot;"/>
  </numFmts>
  <fonts count="3">
    <font>
      <sz val="11"/>
      <color theme="1"/>
      <name val="Calibri"/>
      <family val="2"/>
      <scheme val="minor"/>
    </font>
    <font>
      <sz val="9"/>
      <color theme="1"/>
      <name val="Calibri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1" fillId="2" borderId="1" xfId="0" applyFont="1" applyFill="1" applyBorder="1" applyAlignment="1">
      <alignment wrapText="1"/>
    </xf>
    <xf numFmtId="0" fontId="1" fillId="0" borderId="1" xfId="0" applyFont="1" applyBorder="1"/>
    <xf numFmtId="2" fontId="1" fillId="0" borderId="1" xfId="0" applyNumberFormat="1" applyFont="1" applyBorder="1"/>
    <xf numFmtId="167" fontId="1" fillId="0" borderId="1" xfId="0" applyNumberFormat="1" applyFont="1" applyBorder="1"/>
    <xf numFmtId="9" fontId="0" fillId="0" borderId="0" xfId="0" applyNumberFormat="1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2" xfId="0" applyFont="1" applyBorder="1"/>
    <xf numFmtId="1" fontId="1" fillId="0" borderId="2" xfId="0" applyNumberFormat="1" applyFont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FABB-DF5C-4F9E-B98F-F8DC866DADF5}">
  <dimension ref="A1:M15"/>
  <sheetViews>
    <sheetView tabSelected="1" topLeftCell="A2" workbookViewId="0">
      <selection activeCell="B16" sqref="B16"/>
    </sheetView>
  </sheetViews>
  <sheetFormatPr defaultColWidth="11.42578125" defaultRowHeight="15"/>
  <cols>
    <col min="1" max="1" width="20.28515625" bestFit="1" customWidth="1"/>
    <col min="2" max="2" width="20.140625" bestFit="1" customWidth="1"/>
    <col min="3" max="3" width="13.85546875" bestFit="1" customWidth="1"/>
    <col min="4" max="4" width="16.28515625" bestFit="1" customWidth="1"/>
    <col min="6" max="6" width="15.7109375" bestFit="1" customWidth="1"/>
    <col min="7" max="7" width="12.42578125" bestFit="1" customWidth="1"/>
    <col min="8" max="8" width="36.5703125" bestFit="1" customWidth="1"/>
  </cols>
  <sheetData>
    <row r="1" spans="1:13">
      <c r="A1" s="1" t="s">
        <v>0</v>
      </c>
      <c r="B1" s="1" t="s">
        <v>1</v>
      </c>
      <c r="C1" s="1" t="s">
        <v>2</v>
      </c>
      <c r="D1" s="9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13" ht="30.75">
      <c r="A2" s="2" t="s">
        <v>8</v>
      </c>
      <c r="B2" s="3" t="s">
        <v>9</v>
      </c>
      <c r="C2" s="4">
        <v>1500</v>
      </c>
      <c r="D2" s="10">
        <v>12</v>
      </c>
      <c r="E2" s="7">
        <f t="shared" ref="E2:E11" si="0">C2*D2</f>
        <v>18000</v>
      </c>
      <c r="F2" s="7">
        <f>E2*M$9</f>
        <v>1260.0000000000002</v>
      </c>
      <c r="G2" s="7">
        <f>E2-F2</f>
        <v>16740</v>
      </c>
      <c r="H2" s="8" t="str">
        <f>IF(AND(G2&gt;1000,D2&gt;=15),"Completa","Incompleta")</f>
        <v>Incompleta</v>
      </c>
    </row>
    <row r="3" spans="1:13">
      <c r="A3" s="2" t="s">
        <v>8</v>
      </c>
      <c r="B3" s="3" t="s">
        <v>10</v>
      </c>
      <c r="C3" s="5">
        <v>2800</v>
      </c>
      <c r="D3" s="10">
        <v>8</v>
      </c>
      <c r="E3" s="7">
        <f t="shared" si="0"/>
        <v>22400</v>
      </c>
      <c r="F3" s="7">
        <f>E3*M$9</f>
        <v>1568.0000000000002</v>
      </c>
      <c r="G3" s="7">
        <f t="shared" ref="G3:G11" si="1">E3-F3</f>
        <v>20832</v>
      </c>
      <c r="H3" s="8" t="str">
        <f t="shared" ref="H3:H11" si="2">IF(AND(G3&gt;1000,D3&gt;=15),"Completa","Incompleta")</f>
        <v>Incompleta</v>
      </c>
    </row>
    <row r="4" spans="1:13">
      <c r="A4" s="2" t="s">
        <v>11</v>
      </c>
      <c r="B4" s="3" t="s">
        <v>12</v>
      </c>
      <c r="C4" s="5">
        <v>1900</v>
      </c>
      <c r="D4" s="10">
        <v>15</v>
      </c>
      <c r="E4" s="7">
        <f t="shared" si="0"/>
        <v>28500</v>
      </c>
      <c r="F4" s="7">
        <f>E4*M$9</f>
        <v>1995.0000000000002</v>
      </c>
      <c r="G4" s="7">
        <f t="shared" si="1"/>
        <v>26505</v>
      </c>
      <c r="H4" s="8" t="str">
        <f t="shared" si="2"/>
        <v>Completa</v>
      </c>
    </row>
    <row r="5" spans="1:13">
      <c r="A5" s="2" t="s">
        <v>11</v>
      </c>
      <c r="B5" s="3" t="s">
        <v>13</v>
      </c>
      <c r="C5" s="5">
        <v>1200</v>
      </c>
      <c r="D5" s="10">
        <v>10</v>
      </c>
      <c r="E5" s="7">
        <f t="shared" si="0"/>
        <v>12000</v>
      </c>
      <c r="F5" s="7">
        <f>E5*M$9</f>
        <v>840.00000000000011</v>
      </c>
      <c r="G5" s="7">
        <f t="shared" si="1"/>
        <v>11160</v>
      </c>
      <c r="H5" s="8" t="str">
        <f t="shared" si="2"/>
        <v>Incompleta</v>
      </c>
    </row>
    <row r="6" spans="1:13">
      <c r="A6" s="2" t="s">
        <v>14</v>
      </c>
      <c r="B6" s="3" t="s">
        <v>15</v>
      </c>
      <c r="C6" s="5">
        <v>4200</v>
      </c>
      <c r="D6" s="10">
        <v>6</v>
      </c>
      <c r="E6" s="7">
        <f t="shared" si="0"/>
        <v>25200</v>
      </c>
      <c r="F6" s="7">
        <f>E6*M$9</f>
        <v>1764.0000000000002</v>
      </c>
      <c r="G6" s="7">
        <f t="shared" si="1"/>
        <v>23436</v>
      </c>
      <c r="H6" s="8" t="str">
        <f t="shared" si="2"/>
        <v>Incompleta</v>
      </c>
    </row>
    <row r="7" spans="1:13">
      <c r="A7" s="2" t="s">
        <v>14</v>
      </c>
      <c r="B7" s="3" t="s">
        <v>16</v>
      </c>
      <c r="C7" s="5">
        <v>1600</v>
      </c>
      <c r="D7" s="10">
        <v>9</v>
      </c>
      <c r="E7" s="7">
        <f t="shared" si="0"/>
        <v>14400</v>
      </c>
      <c r="F7" s="7">
        <f>E7*M$9</f>
        <v>1008.0000000000001</v>
      </c>
      <c r="G7" s="7">
        <f t="shared" si="1"/>
        <v>13392</v>
      </c>
      <c r="H7" s="8" t="str">
        <f t="shared" si="2"/>
        <v>Incompleta</v>
      </c>
    </row>
    <row r="8" spans="1:13">
      <c r="A8" s="2" t="s">
        <v>17</v>
      </c>
      <c r="B8" s="3" t="s">
        <v>18</v>
      </c>
      <c r="C8" s="5">
        <v>4500</v>
      </c>
      <c r="D8" s="10">
        <v>7</v>
      </c>
      <c r="E8" s="7">
        <f t="shared" si="0"/>
        <v>31500</v>
      </c>
      <c r="F8" s="7">
        <f>E8*M$9</f>
        <v>2205</v>
      </c>
      <c r="G8" s="7">
        <f t="shared" si="1"/>
        <v>29295</v>
      </c>
      <c r="H8" s="8" t="str">
        <f t="shared" si="2"/>
        <v>Incompleta</v>
      </c>
    </row>
    <row r="9" spans="1:13">
      <c r="A9" s="2" t="s">
        <v>17</v>
      </c>
      <c r="B9" s="3" t="s">
        <v>19</v>
      </c>
      <c r="C9" s="5">
        <v>2100</v>
      </c>
      <c r="D9" s="10">
        <v>11</v>
      </c>
      <c r="E9" s="7">
        <f t="shared" si="0"/>
        <v>23100</v>
      </c>
      <c r="F9" s="7">
        <f>E9*M$9</f>
        <v>1617.0000000000002</v>
      </c>
      <c r="G9" s="7">
        <f t="shared" si="1"/>
        <v>21483</v>
      </c>
      <c r="H9" s="8" t="str">
        <f t="shared" si="2"/>
        <v>Incompleta</v>
      </c>
      <c r="M9" s="6">
        <v>7.0000000000000007E-2</v>
      </c>
    </row>
    <row r="10" spans="1:13">
      <c r="A10" s="2" t="s">
        <v>20</v>
      </c>
      <c r="B10" s="3" t="s">
        <v>21</v>
      </c>
      <c r="C10" s="5">
        <v>3800</v>
      </c>
      <c r="D10" s="10">
        <v>5</v>
      </c>
      <c r="E10" s="7">
        <f t="shared" si="0"/>
        <v>19000</v>
      </c>
      <c r="F10" s="7">
        <f>E10*M$9</f>
        <v>1330.0000000000002</v>
      </c>
      <c r="G10" s="7">
        <f t="shared" si="1"/>
        <v>17670</v>
      </c>
      <c r="H10" s="8" t="str">
        <f t="shared" si="2"/>
        <v>Incompleta</v>
      </c>
    </row>
    <row r="11" spans="1:13">
      <c r="A11" s="2" t="s">
        <v>20</v>
      </c>
      <c r="B11" s="3" t="s">
        <v>22</v>
      </c>
      <c r="C11" s="5">
        <v>1300</v>
      </c>
      <c r="D11" s="10">
        <v>14</v>
      </c>
      <c r="E11" s="7">
        <f t="shared" si="0"/>
        <v>18200</v>
      </c>
      <c r="F11" s="7">
        <f>E11*M$9</f>
        <v>1274.0000000000002</v>
      </c>
      <c r="G11" s="7">
        <f t="shared" si="1"/>
        <v>16926</v>
      </c>
      <c r="H11" s="8" t="str">
        <f t="shared" si="2"/>
        <v>Incompleta</v>
      </c>
    </row>
    <row r="13" spans="1:13">
      <c r="A13" t="s">
        <v>23</v>
      </c>
      <c r="B13" s="11">
        <f>MAX(D2:D11)</f>
        <v>15</v>
      </c>
    </row>
    <row r="14" spans="1:13">
      <c r="A14" t="s">
        <v>24</v>
      </c>
      <c r="B14">
        <f>AVERAGE(G2:G11)</f>
        <v>19743.900000000001</v>
      </c>
    </row>
    <row r="15" spans="1:13">
      <c r="A15" t="s">
        <v>25</v>
      </c>
      <c r="B15">
        <f>SUMIF(A2:A11,A2,G2:G11)</f>
        <v>37572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2026-02-07T19:32:26Z</dcterms:created>
  <dcterms:modified xsi:type="dcterms:W3CDTF">2026-02-07T21:03:41Z</dcterms:modified>
  <cp:category/>
  <cp:contentStatus/>
</cp:coreProperties>
</file>