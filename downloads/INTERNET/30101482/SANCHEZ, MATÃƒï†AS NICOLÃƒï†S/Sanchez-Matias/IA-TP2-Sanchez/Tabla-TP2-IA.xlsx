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 defaultThemeVersion="166925"/>
  <xr:revisionPtr revIDLastSave="0" documentId="8_{E5525CB1-C182-44E2-886D-754E59BED26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3" i="1"/>
  <c r="C12" i="1"/>
  <c r="H3" i="1"/>
  <c r="H4" i="1"/>
  <c r="H5" i="1"/>
  <c r="H6" i="1"/>
  <c r="H7" i="1"/>
  <c r="H8" i="1"/>
  <c r="H9" i="1"/>
  <c r="H10" i="1"/>
  <c r="H11" i="1"/>
  <c r="H2" i="1"/>
  <c r="E2" i="1"/>
  <c r="E3" i="1"/>
  <c r="E4" i="1"/>
  <c r="E5" i="1"/>
  <c r="E6" i="1"/>
  <c r="E7" i="1"/>
  <c r="E8" i="1"/>
  <c r="E9" i="1"/>
  <c r="E10" i="1"/>
  <c r="E11" i="1"/>
  <c r="F11" i="1" l="1"/>
  <c r="G11" i="1" s="1"/>
  <c r="F10" i="1"/>
  <c r="G10" i="1" s="1"/>
  <c r="F9" i="1"/>
  <c r="G9" i="1" s="1"/>
  <c r="F8" i="1"/>
  <c r="G8" i="1" s="1"/>
  <c r="F7" i="1"/>
  <c r="G7" i="1" s="1"/>
  <c r="F6" i="1"/>
  <c r="G6" i="1" s="1"/>
  <c r="F5" i="1"/>
  <c r="G5" i="1" s="1"/>
  <c r="F4" i="1"/>
  <c r="G4" i="1" s="1"/>
  <c r="F3" i="1"/>
  <c r="G3" i="1" s="1"/>
  <c r="F2" i="1"/>
  <c r="G2" i="1" s="1"/>
</calcChain>
</file>

<file path=xl/sharedStrings.xml><?xml version="1.0" encoding="utf-8"?>
<sst xmlns="http://schemas.openxmlformats.org/spreadsheetml/2006/main" count="22" uniqueCount="22">
  <si>
    <t>FECHA</t>
  </si>
  <si>
    <t>PRODUCTO</t>
  </si>
  <si>
    <t>PRECIO UNITARIO ($)</t>
  </si>
  <si>
    <t>CANTIDAD VENDIDA</t>
  </si>
  <si>
    <t>TOTAL VENTAS</t>
  </si>
  <si>
    <t>TOTAL DESCUENTO</t>
  </si>
  <si>
    <t>VENTAS NETAS</t>
  </si>
  <si>
    <t>ESTADO DE VENTA</t>
  </si>
  <si>
    <t>Camiseta Argentina Titular</t>
  </si>
  <si>
    <t>Camiseta Brasil Visitante</t>
  </si>
  <si>
    <t>Camiseta FC Barcelona Titular</t>
  </si>
  <si>
    <t>Camiseta Real Madrid Visitante</t>
  </si>
  <si>
    <t>Camiseta Manchester United Titular</t>
  </si>
  <si>
    <t>Camiseta PSG Titular</t>
  </si>
  <si>
    <t>Camiseta Bayern Múnich Visitante</t>
  </si>
  <si>
    <t>DESCUENTO A UTILIZAR</t>
  </si>
  <si>
    <t>Camiseta Juventus Titular</t>
  </si>
  <si>
    <t>Camiseta Boca Juniors Titular</t>
  </si>
  <si>
    <t>Camiseta River Plate Visitante</t>
  </si>
  <si>
    <t>PRODUCTO MAS VENDIDO</t>
  </si>
  <si>
    <t>PROMEDIO VENTAS</t>
  </si>
  <si>
    <t>VENTAS POR 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</si>
</sst>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9" fontId="0" fillId="0" borderId="1" xfId="0" applyNumberFormat="1" applyBorder="1"/>
    <xf numFmtId="14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/>
    <xf numFmtId="0" fontId="0" fillId="0" borderId="2" xfId="0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topLeftCell="A9" workbookViewId="0">
      <selection activeCell="C14" sqref="C14"/>
    </sheetView>
  </sheetViews>
  <sheetFormatPr defaultRowHeight="15"/>
  <cols>
    <col min="1" max="1" width="15.28515625" customWidth="1"/>
    <col min="2" max="2" width="22.5703125" customWidth="1"/>
    <col min="3" max="3" width="26.85546875" style="1" bestFit="1" customWidth="1"/>
    <col min="4" max="4" width="19.140625" bestFit="1" customWidth="1"/>
    <col min="5" max="5" width="14.140625" style="1" bestFit="1" customWidth="1"/>
    <col min="6" max="6" width="17.7109375" bestFit="1" customWidth="1"/>
    <col min="7" max="7" width="14" bestFit="1" customWidth="1"/>
    <col min="8" max="8" width="17.140625" bestFit="1" customWidth="1"/>
    <col min="13" max="13" width="21.5703125" bestFit="1" customWidth="1"/>
  </cols>
  <sheetData>
    <row r="1" spans="1:13">
      <c r="A1" s="3" t="s">
        <v>0</v>
      </c>
      <c r="B1" s="3" t="s">
        <v>1</v>
      </c>
      <c r="C1" s="10" t="s">
        <v>2</v>
      </c>
      <c r="D1" s="3" t="s">
        <v>3</v>
      </c>
      <c r="E1" s="10" t="s">
        <v>4</v>
      </c>
      <c r="F1" s="3" t="s">
        <v>5</v>
      </c>
      <c r="G1" s="3" t="s">
        <v>6</v>
      </c>
      <c r="H1" s="3" t="s">
        <v>7</v>
      </c>
    </row>
    <row r="2" spans="1:13" ht="30.75">
      <c r="A2" s="5">
        <v>46032</v>
      </c>
      <c r="B2" s="8" t="s">
        <v>8</v>
      </c>
      <c r="C2" s="4">
        <v>290</v>
      </c>
      <c r="D2" s="15">
        <v>12</v>
      </c>
      <c r="E2" s="4">
        <f>C2*D2</f>
        <v>3480</v>
      </c>
      <c r="F2" s="4">
        <f>E2*$M$9</f>
        <v>243.60000000000002</v>
      </c>
      <c r="G2" s="4">
        <f>E2-F2</f>
        <v>3236.4</v>
      </c>
      <c r="H2" s="9" t="str">
        <f>IF(AND(G2&gt;1000,D2=15),"COMPLETA","")</f>
        <v/>
      </c>
    </row>
    <row r="3" spans="1:13">
      <c r="A3" s="5">
        <v>46036</v>
      </c>
      <c r="B3" s="8" t="s">
        <v>9</v>
      </c>
      <c r="C3" s="4">
        <v>270.5</v>
      </c>
      <c r="D3" s="9">
        <v>8</v>
      </c>
      <c r="E3" s="4">
        <f t="shared" ref="E3:E11" si="0">C3*D3</f>
        <v>2164</v>
      </c>
      <c r="F3" s="4">
        <f t="shared" ref="F3:F11" si="1">E3*$M$9</f>
        <v>151.48000000000002</v>
      </c>
      <c r="G3" s="4">
        <f t="shared" ref="G3:G11" si="2">E3-F3</f>
        <v>2012.52</v>
      </c>
      <c r="H3" s="9" t="str">
        <f t="shared" ref="H3:H11" si="3">IF(AND(G3&gt;1000,D3=15),"COMPLETA","")</f>
        <v/>
      </c>
    </row>
    <row r="4" spans="1:13" ht="30.75">
      <c r="A4" s="5">
        <v>46040</v>
      </c>
      <c r="B4" s="8" t="s">
        <v>10</v>
      </c>
      <c r="C4" s="4">
        <v>340.9</v>
      </c>
      <c r="D4" s="9">
        <v>15</v>
      </c>
      <c r="E4" s="4">
        <f t="shared" si="0"/>
        <v>5113.5</v>
      </c>
      <c r="F4" s="4">
        <f t="shared" si="1"/>
        <v>357.94500000000005</v>
      </c>
      <c r="G4" s="4">
        <f t="shared" si="2"/>
        <v>4755.5550000000003</v>
      </c>
      <c r="H4" s="9" t="str">
        <f t="shared" si="3"/>
        <v>COMPLETA</v>
      </c>
    </row>
    <row r="5" spans="1:13" ht="30.75">
      <c r="A5" s="5">
        <v>46042</v>
      </c>
      <c r="B5" s="8" t="s">
        <v>11</v>
      </c>
      <c r="C5" s="4">
        <v>360.75</v>
      </c>
      <c r="D5" s="9">
        <v>10</v>
      </c>
      <c r="E5" s="4">
        <f t="shared" si="0"/>
        <v>3607.5</v>
      </c>
      <c r="F5" s="4">
        <f t="shared" si="1"/>
        <v>252.52500000000003</v>
      </c>
      <c r="G5" s="4">
        <f t="shared" si="2"/>
        <v>3354.9749999999999</v>
      </c>
      <c r="H5" s="9" t="str">
        <f t="shared" si="3"/>
        <v/>
      </c>
    </row>
    <row r="6" spans="1:13" ht="30.75">
      <c r="A6" s="5">
        <v>46044</v>
      </c>
      <c r="B6" s="8" t="s">
        <v>12</v>
      </c>
      <c r="C6" s="4">
        <v>320.39999999999998</v>
      </c>
      <c r="D6" s="9">
        <v>7</v>
      </c>
      <c r="E6" s="4">
        <f t="shared" si="0"/>
        <v>2242.7999999999997</v>
      </c>
      <c r="F6" s="4">
        <f t="shared" si="1"/>
        <v>156.99600000000001</v>
      </c>
      <c r="G6" s="4">
        <f t="shared" si="2"/>
        <v>2085.8039999999996</v>
      </c>
      <c r="H6" s="9" t="str">
        <f t="shared" si="3"/>
        <v/>
      </c>
    </row>
    <row r="7" spans="1:13">
      <c r="A7" s="5">
        <v>46046</v>
      </c>
      <c r="B7" s="8" t="s">
        <v>13</v>
      </c>
      <c r="C7" s="4">
        <v>350</v>
      </c>
      <c r="D7" s="9">
        <v>9</v>
      </c>
      <c r="E7" s="4">
        <f t="shared" si="0"/>
        <v>3150</v>
      </c>
      <c r="F7" s="4">
        <f t="shared" si="1"/>
        <v>220.50000000000003</v>
      </c>
      <c r="G7" s="4">
        <f t="shared" si="2"/>
        <v>2929.5</v>
      </c>
      <c r="H7" s="9" t="str">
        <f t="shared" si="3"/>
        <v/>
      </c>
    </row>
    <row r="8" spans="1:13" ht="30.75">
      <c r="A8" s="5">
        <v>46048</v>
      </c>
      <c r="B8" s="8" t="s">
        <v>14</v>
      </c>
      <c r="C8" s="4">
        <v>330.6</v>
      </c>
      <c r="D8" s="9">
        <v>6</v>
      </c>
      <c r="E8" s="4">
        <f t="shared" si="0"/>
        <v>1983.6000000000001</v>
      </c>
      <c r="F8" s="4">
        <f t="shared" si="1"/>
        <v>138.85200000000003</v>
      </c>
      <c r="G8" s="4">
        <f t="shared" si="2"/>
        <v>1844.748</v>
      </c>
      <c r="H8" s="9" t="str">
        <f t="shared" si="3"/>
        <v/>
      </c>
      <c r="M8" s="2" t="s">
        <v>15</v>
      </c>
    </row>
    <row r="9" spans="1:13" ht="30.75">
      <c r="A9" s="5">
        <v>46050</v>
      </c>
      <c r="B9" s="8" t="s">
        <v>16</v>
      </c>
      <c r="C9" s="4">
        <v>310.25</v>
      </c>
      <c r="D9" s="9">
        <v>11</v>
      </c>
      <c r="E9" s="4">
        <f t="shared" si="0"/>
        <v>3412.75</v>
      </c>
      <c r="F9" s="4">
        <f t="shared" si="1"/>
        <v>238.89250000000001</v>
      </c>
      <c r="G9" s="4">
        <f t="shared" si="2"/>
        <v>3173.8575000000001</v>
      </c>
      <c r="H9" s="9" t="str">
        <f t="shared" si="3"/>
        <v/>
      </c>
      <c r="M9" s="6">
        <v>7.0000000000000007E-2</v>
      </c>
    </row>
    <row r="10" spans="1:13" ht="30.75">
      <c r="A10" s="5">
        <v>46052</v>
      </c>
      <c r="B10" s="8" t="s">
        <v>17</v>
      </c>
      <c r="C10" s="4">
        <v>280.8</v>
      </c>
      <c r="D10" s="9">
        <v>14</v>
      </c>
      <c r="E10" s="4">
        <f t="shared" si="0"/>
        <v>3931.2000000000003</v>
      </c>
      <c r="F10" s="4">
        <f t="shared" si="1"/>
        <v>275.18400000000003</v>
      </c>
      <c r="G10" s="4">
        <f t="shared" si="2"/>
        <v>3656.0160000000001</v>
      </c>
      <c r="H10" s="9" t="str">
        <f t="shared" si="3"/>
        <v/>
      </c>
    </row>
    <row r="11" spans="1:13" ht="30.75">
      <c r="A11" s="7">
        <v>46055</v>
      </c>
      <c r="B11" s="13" t="s">
        <v>18</v>
      </c>
      <c r="C11" s="14">
        <v>300.5</v>
      </c>
      <c r="D11" s="9">
        <v>13</v>
      </c>
      <c r="E11" s="4">
        <f t="shared" si="0"/>
        <v>3906.5</v>
      </c>
      <c r="F11" s="4">
        <f t="shared" si="1"/>
        <v>273.45500000000004</v>
      </c>
      <c r="G11" s="4">
        <f t="shared" si="2"/>
        <v>3633.0450000000001</v>
      </c>
      <c r="H11" s="9" t="str">
        <f t="shared" si="3"/>
        <v/>
      </c>
    </row>
    <row r="12" spans="1:13">
      <c r="A12" s="11" t="s">
        <v>19</v>
      </c>
      <c r="B12" s="11"/>
      <c r="C12" s="16" t="str">
        <f>_xlfn.XLOOKUP(MAX(D2:D11),D2:D11,B2:B11)</f>
        <v>Camiseta FC Barcelona Titular</v>
      </c>
    </row>
    <row r="13" spans="1:13">
      <c r="A13" s="11" t="s">
        <v>20</v>
      </c>
      <c r="B13" s="11"/>
      <c r="C13" s="12">
        <f>AVERAGE(G2:G11)</f>
        <v>3068.2420499999998</v>
      </c>
    </row>
    <row r="14" spans="1:13">
      <c r="A14" s="11" t="s">
        <v>21</v>
      </c>
      <c r="B14" s="11"/>
      <c r="C14" s="16">
        <f>COUNTIF(A2:A11,A2)</f>
        <v>1</v>
      </c>
    </row>
  </sheetData>
  <mergeCells count="3">
    <mergeCell ref="A12:B12"/>
    <mergeCell ref="A13:B13"/>
    <mergeCell ref="A14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2026-02-07T00:53:06Z</dcterms:created>
  <dcterms:modified xsi:type="dcterms:W3CDTF">2026-02-07T02:42:27Z</dcterms:modified>
  <cp:category/>
  <cp:contentStatus/>
</cp:coreProperties>
</file>