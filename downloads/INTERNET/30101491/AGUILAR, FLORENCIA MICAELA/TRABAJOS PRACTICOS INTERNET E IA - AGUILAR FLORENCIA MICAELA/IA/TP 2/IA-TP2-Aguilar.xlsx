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B3AC380-0DDF-4F3A-9655-3F63FD07B4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la-TP2-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E11" i="1"/>
  <c r="E10" i="1"/>
  <c r="E9" i="1"/>
  <c r="E8" i="1"/>
  <c r="E7" i="1"/>
  <c r="E6" i="1"/>
  <c r="E5" i="1"/>
  <c r="E4" i="1"/>
  <c r="E3" i="1"/>
  <c r="E2" i="1"/>
  <c r="F2" i="1" l="1"/>
  <c r="G2" i="1" s="1"/>
  <c r="H2" i="1" s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<sst xmlns="http://schemas.openxmlformats.org/spreadsheetml/2006/main" count="21" uniqueCount="21">
  <si>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</si>
  <si>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</si>
  <si>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</si>
  <si>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</si>
  <si>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</si>
  <si>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</si>
  <si>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</si>
  <si>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 xml:space="preserve">Estado de Venta </t>
  </si>
  <si>
    <t>Café molido</t>
  </si>
  <si>
    <t>Té verde</t>
  </si>
  <si>
    <t>Azúcar 1kg</t>
  </si>
  <si>
    <t>Leche entera</t>
  </si>
  <si>
    <t>Pan integral</t>
  </si>
  <si>
    <t>Galletitas</t>
  </si>
  <si>
    <t>Arroz 1kg</t>
  </si>
  <si>
    <t>Fideos</t>
  </si>
  <si>
    <t>Aceite de oliva</t>
  </si>
  <si>
    <t>Chocolate</t>
  </si>
  <si>
    <t>Promedio más vendido:</t>
  </si>
  <si>
    <t>Promedio ventas:</t>
  </si>
  <si>
    <t xml:space="preserve">Ventas por 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</si>
</sst>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12">
    <dxf>
      <numFmt numFmtId="0" formatCode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DE46A-5E00-4CD2-8BA5-322E6E141FC0}" name="Tabla3" displayName="Tabla3" ref="A1:H11" totalsRowShown="0" headerRowDxfId="11" headerRowBorderDxfId="9" tableBorderDxfId="10" totalsRowBorderDxfId="8">
  <autoFilter ref="A1:H11" xr:uid="{254DE46A-5E00-4CD2-8BA5-322E6E141FC0}"/>
  <tableColumns count="8">
    <tableColumn id="1" xr3:uid="{E9BAFEDE-4519-41E2-BA72-310673D8F837}" name="Fecha" dataDxfId="7"/>
    <tableColumn id="2" xr3:uid="{10291A40-FF49-4A09-A6A4-F2E2799695FF}" name="Producto" dataDxfId="6"/>
    <tableColumn id="3" xr3:uid="{444B76B3-BC47-457B-8449-3957DAF264DC}" name="Precio Unitario" dataDxfId="5"/>
    <tableColumn id="4" xr3:uid="{2149D6E4-DADB-4B34-803C-CD1648629FA2}" name="Cantidad vendida" dataDxfId="4"/>
    <tableColumn id="5" xr3:uid="{4D785E3E-421E-4E66-852F-C48A405ECF60}" name="Total ventas" dataDxfId="3">
      <calculatedColumnFormula>C2*D2</calculatedColumnFormula>
    </tableColumn>
    <tableColumn id="6" xr3:uid="{37CBB9C5-978F-4D32-88E9-766FC5739F76}" name="Total Descuento" dataDxfId="2">
      <calculatedColumnFormula>E2*$M$9</calculatedColumnFormula>
    </tableColumn>
    <tableColumn id="7" xr3:uid="{2ED9A0BA-E394-46A2-85C1-DE4B2EE6F692}" name="Ventas Netas" dataDxfId="1">
      <calculatedColumnFormula>E2-F2</calculatedColumnFormula>
    </tableColumn>
    <tableColumn id="8" xr3:uid="{22D4D237-C1F0-4B2A-8BB0-13085CE6ADFD}" name="Estado de Venta " dataDxfId="0">
      <calculatedColumnFormula>IF(AND(G2&gt;1000,D2&gt;15),"Completa","")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19" sqref="B19"/>
    </sheetView>
  </sheetViews>
  <sheetFormatPr defaultRowHeight="15"/>
  <cols>
    <col min="1" max="1" width="21.42578125" bestFit="1" customWidth="1"/>
    <col min="2" max="2" width="13.5703125" bestFit="1" customWidth="1"/>
    <col min="3" max="3" width="16.42578125" bestFit="1" customWidth="1"/>
    <col min="4" max="4" width="18.7109375" bestFit="1" customWidth="1"/>
    <col min="5" max="5" width="14" bestFit="1" customWidth="1"/>
    <col min="6" max="6" width="17.5703125" bestFit="1" customWidth="1"/>
    <col min="7" max="7" width="14.85546875" bestFit="1" customWidth="1"/>
    <col min="8" max="8" width="18.1406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>
      <c r="A2" s="3">
        <v>45662</v>
      </c>
      <c r="B2" s="2" t="s">
        <v>8</v>
      </c>
      <c r="C2" s="4">
        <v>4500</v>
      </c>
      <c r="D2" s="2">
        <v>24</v>
      </c>
      <c r="E2" s="2">
        <f t="shared" ref="E2:E11" si="0">C2*D2</f>
        <v>108000</v>
      </c>
      <c r="F2" s="2">
        <f t="shared" ref="F2:F11" si="1">E2*$M$9</f>
        <v>7560.0000000000009</v>
      </c>
      <c r="G2" s="2">
        <f t="shared" ref="G2:G11" si="2">E2-F2</f>
        <v>100440</v>
      </c>
      <c r="H2" s="2" t="str">
        <f t="shared" ref="H2:H11" si="3">IF(AND(G2&gt;1000,D2&gt;15),"Completa","")</f>
        <v>Completa</v>
      </c>
    </row>
    <row r="3" spans="1:13">
      <c r="A3" s="3">
        <v>45663</v>
      </c>
      <c r="B3" s="2" t="s">
        <v>9</v>
      </c>
      <c r="C3" s="4">
        <v>3200</v>
      </c>
      <c r="D3" s="2">
        <v>15</v>
      </c>
      <c r="E3" s="2">
        <f t="shared" si="0"/>
        <v>48000</v>
      </c>
      <c r="F3" s="2">
        <f t="shared" si="1"/>
        <v>3360.0000000000005</v>
      </c>
      <c r="G3" s="2">
        <f t="shared" si="2"/>
        <v>44640</v>
      </c>
      <c r="H3" s="2" t="str">
        <f t="shared" si="3"/>
        <v/>
      </c>
    </row>
    <row r="4" spans="1:13">
      <c r="A4" s="3">
        <v>45664</v>
      </c>
      <c r="B4" s="2" t="s">
        <v>10</v>
      </c>
      <c r="C4" s="4">
        <v>1800</v>
      </c>
      <c r="D4" s="2">
        <v>30</v>
      </c>
      <c r="E4" s="2">
        <f t="shared" si="0"/>
        <v>54000</v>
      </c>
      <c r="F4" s="2">
        <f t="shared" si="1"/>
        <v>3780.0000000000005</v>
      </c>
      <c r="G4" s="2">
        <f t="shared" si="2"/>
        <v>50220</v>
      </c>
      <c r="H4" s="2" t="str">
        <f t="shared" si="3"/>
        <v>Completa</v>
      </c>
    </row>
    <row r="5" spans="1:13">
      <c r="A5" s="3">
        <v>45665</v>
      </c>
      <c r="B5" s="2" t="s">
        <v>11</v>
      </c>
      <c r="C5" s="4">
        <v>1200</v>
      </c>
      <c r="D5" s="2">
        <v>42</v>
      </c>
      <c r="E5" s="2">
        <f t="shared" si="0"/>
        <v>50400</v>
      </c>
      <c r="F5" s="2">
        <f t="shared" si="1"/>
        <v>3528.0000000000005</v>
      </c>
      <c r="G5" s="2">
        <f t="shared" si="2"/>
        <v>46872</v>
      </c>
      <c r="H5" s="2" t="str">
        <f t="shared" si="3"/>
        <v>Completa</v>
      </c>
    </row>
    <row r="6" spans="1:13">
      <c r="A6" s="3">
        <v>45666</v>
      </c>
      <c r="B6" s="2" t="s">
        <v>12</v>
      </c>
      <c r="C6" s="4">
        <v>2000</v>
      </c>
      <c r="D6" s="2">
        <v>28</v>
      </c>
      <c r="E6" s="2">
        <f t="shared" si="0"/>
        <v>56000</v>
      </c>
      <c r="F6" s="2">
        <f t="shared" si="1"/>
        <v>3920.0000000000005</v>
      </c>
      <c r="G6" s="2">
        <f t="shared" si="2"/>
        <v>52080</v>
      </c>
      <c r="H6" s="2" t="str">
        <f t="shared" si="3"/>
        <v>Completa</v>
      </c>
    </row>
    <row r="7" spans="1:13">
      <c r="A7" s="3">
        <v>45667</v>
      </c>
      <c r="B7" s="2" t="s">
        <v>13</v>
      </c>
      <c r="C7" s="4">
        <v>2500</v>
      </c>
      <c r="D7" s="2">
        <v>19</v>
      </c>
      <c r="E7" s="2">
        <f t="shared" si="0"/>
        <v>47500</v>
      </c>
      <c r="F7" s="2">
        <f t="shared" si="1"/>
        <v>3325.0000000000005</v>
      </c>
      <c r="G7" s="2">
        <f t="shared" si="2"/>
        <v>44175</v>
      </c>
      <c r="H7" s="2" t="str">
        <f t="shared" si="3"/>
        <v>Completa</v>
      </c>
    </row>
    <row r="8" spans="1:13">
      <c r="A8" s="3">
        <v>45668</v>
      </c>
      <c r="B8" s="2" t="s">
        <v>14</v>
      </c>
      <c r="C8" s="4">
        <v>1900</v>
      </c>
      <c r="D8" s="2">
        <v>35</v>
      </c>
      <c r="E8" s="2">
        <f t="shared" si="0"/>
        <v>66500</v>
      </c>
      <c r="F8" s="2">
        <f t="shared" si="1"/>
        <v>4655</v>
      </c>
      <c r="G8" s="2">
        <f t="shared" si="2"/>
        <v>61845</v>
      </c>
      <c r="H8" s="2" t="str">
        <f t="shared" si="3"/>
        <v>Completa</v>
      </c>
    </row>
    <row r="9" spans="1:13">
      <c r="A9" s="3">
        <v>45669</v>
      </c>
      <c r="B9" s="2" t="s">
        <v>15</v>
      </c>
      <c r="C9" s="4">
        <v>1700</v>
      </c>
      <c r="D9" s="2">
        <v>27</v>
      </c>
      <c r="E9" s="2">
        <f t="shared" si="0"/>
        <v>45900</v>
      </c>
      <c r="F9" s="2">
        <f t="shared" si="1"/>
        <v>3213.0000000000005</v>
      </c>
      <c r="G9" s="2">
        <f t="shared" si="2"/>
        <v>42687</v>
      </c>
      <c r="H9" s="2" t="str">
        <f t="shared" si="3"/>
        <v>Completa</v>
      </c>
      <c r="M9" s="5">
        <v>7.0000000000000007E-2</v>
      </c>
    </row>
    <row r="10" spans="1:13">
      <c r="A10" s="3">
        <v>45670</v>
      </c>
      <c r="B10" s="2" t="s">
        <v>16</v>
      </c>
      <c r="C10" s="4">
        <v>8500</v>
      </c>
      <c r="D10" s="2">
        <v>12</v>
      </c>
      <c r="E10" s="2">
        <f t="shared" si="0"/>
        <v>102000</v>
      </c>
      <c r="F10" s="2">
        <f t="shared" si="1"/>
        <v>7140.0000000000009</v>
      </c>
      <c r="G10" s="2">
        <f t="shared" si="2"/>
        <v>94860</v>
      </c>
      <c r="H10" s="2" t="str">
        <f t="shared" si="3"/>
        <v/>
      </c>
    </row>
    <row r="11" spans="1:13">
      <c r="A11" s="3">
        <v>45671</v>
      </c>
      <c r="B11" s="2" t="s">
        <v>17</v>
      </c>
      <c r="C11" s="4">
        <v>3000</v>
      </c>
      <c r="D11" s="2">
        <v>21</v>
      </c>
      <c r="E11" s="2">
        <f t="shared" si="0"/>
        <v>63000</v>
      </c>
      <c r="F11" s="2">
        <f t="shared" si="1"/>
        <v>4410</v>
      </c>
      <c r="G11" s="2">
        <f t="shared" si="2"/>
        <v>58590</v>
      </c>
      <c r="H11" s="2" t="str">
        <f t="shared" si="3"/>
        <v>Completa</v>
      </c>
    </row>
    <row r="13" spans="1:13">
      <c r="A13" s="1" t="s">
        <v>18</v>
      </c>
      <c r="B13">
        <f>MAX(D2:D11)</f>
        <v>42</v>
      </c>
    </row>
    <row r="14" spans="1:13">
      <c r="A14" s="1" t="s">
        <v>19</v>
      </c>
      <c r="B14">
        <f>AVERAGE(E2:E11)</f>
        <v>64130</v>
      </c>
    </row>
    <row r="15" spans="1:13">
      <c r="A15" s="1" t="s">
        <v>20</v>
      </c>
      <c r="B15">
        <f>SUMIF(A2:A11,A2,G2:G11)</f>
        <v>100440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2026-02-07T15:21:23Z</dcterms:created>
  <dcterms:modified xsi:type="dcterms:W3CDTF">2026-02-07T16:11:37Z</dcterms:modified>
  <cp:category/>
  <cp:contentStatus/>
</cp:coreProperties>
</file>