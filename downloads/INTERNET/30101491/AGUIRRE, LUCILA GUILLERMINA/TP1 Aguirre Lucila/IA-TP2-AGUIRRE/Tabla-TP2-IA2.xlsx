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CDCBA978-84BF-4D0F-92BB-DCEFA1D7F8C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<sst xmlns="http://schemas.openxmlformats.org/spreadsheetml/2006/main" count="21" uniqueCount="21">
  <si>
    <t>Fecha</t>
  </si>
  <si>
    <t>Producto</t>
  </si>
  <si>
    <t>Precio unitario</t>
  </si>
  <si>
    <t>Cantidad vendida</t>
  </si>
  <si>
    <t>Total ventas</t>
  </si>
  <si>
    <t>Total descuento</t>
  </si>
  <si>
    <t>Ventas netas</t>
  </si>
  <si>
    <t>Estado de venta</t>
  </si>
  <si>
    <t>Coca-Cola 600 ml</t>
  </si>
  <si>
    <t>Pan Bimbo Blanco</t>
  </si>
  <si>
    <t>Leche Lala Entera 1 L</t>
  </si>
  <si>
    <t>Arroz SOS 1 kg</t>
  </si>
  <si>
    <t>Aceite Carbonell 1 L</t>
  </si>
  <si>
    <t>Galletas Oreo 154 g</t>
  </si>
  <si>
    <t>Café Nescafé Clásico 200 g</t>
  </si>
  <si>
    <t>Detergente Ariel 3 kg</t>
  </si>
  <si>
    <t>Shampoo Pantene 400 ml</t>
  </si>
  <si>
    <t>Papel Higiénico Scott 12 rollos</t>
  </si>
  <si>
    <t>Producto mas vendido</t>
  </si>
  <si>
    <t>Promedio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</si>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</sst>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M9" sqref="M9"/>
    </sheetView>
  </sheetViews>
  <sheetFormatPr defaultRowHeight="15"/>
  <cols>
    <col min="1" max="1" width="20.85546875" bestFit="1" customWidth="1"/>
    <col min="2" max="2" width="26.85546875" bestFit="1" customWidth="1"/>
    <col min="3" max="3" width="14" bestFit="1" customWidth="1"/>
    <col min="4" max="4" width="16.42578125" bestFit="1" customWidth="1"/>
    <col min="5" max="5" width="11.7109375" bestFit="1" customWidth="1"/>
    <col min="6" max="6" width="15.140625" bestFit="1" customWidth="1"/>
    <col min="7" max="7" width="12.42578125" bestFit="1" customWidth="1"/>
    <col min="8" max="8" width="36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</row>
    <row r="2" spans="1:13">
      <c r="A2" s="4">
        <v>46027</v>
      </c>
      <c r="B2" s="5" t="s">
        <v>8</v>
      </c>
      <c r="C2" s="5">
        <v>1.5</v>
      </c>
      <c r="D2" s="5">
        <v>120</v>
      </c>
      <c r="E2" s="5">
        <f>C2*D2</f>
        <v>180</v>
      </c>
      <c r="F2" s="5">
        <f>SUM(E2:E11)*$M$9</f>
        <v>86.072000000000017</v>
      </c>
      <c r="G2" s="5">
        <f>SUM(E2:E11)*(1-$M$9)</f>
        <v>1143.528</v>
      </c>
      <c r="H2" s="6" t="str">
        <f>IF(AND(G2&gt;1000,D2&gt;15),"COMPLETA","")</f>
        <v>COMPLETA</v>
      </c>
      <c r="I2" s="3"/>
      <c r="J2" s="3"/>
      <c r="K2" s="3"/>
      <c r="L2" s="3"/>
      <c r="M2" s="3"/>
    </row>
    <row r="3" spans="1:13">
      <c r="A3" s="4">
        <v>46028</v>
      </c>
      <c r="B3" s="5" t="s">
        <v>9</v>
      </c>
      <c r="C3" s="5">
        <v>2.2000000000000002</v>
      </c>
      <c r="D3" s="5">
        <v>45</v>
      </c>
      <c r="E3" s="5">
        <f t="shared" ref="E3:E11" si="0">C3*D3</f>
        <v>99.000000000000014</v>
      </c>
      <c r="F3" s="5">
        <f t="shared" ref="F3:F11" si="1">SUM(E3:E12)*$M$9</f>
        <v>73.472000000000023</v>
      </c>
      <c r="G3" s="5">
        <f t="shared" ref="G3:G11" si="2">SUM(E3:E12)*(1-$M$9)</f>
        <v>976.12800000000004</v>
      </c>
      <c r="H3" s="6" t="str">
        <f t="shared" ref="H3:H11" si="3">IF(AND(G3&gt;1000,D3&gt;15),"COMPLETA","")</f>
        <v/>
      </c>
      <c r="I3" s="3"/>
      <c r="J3" s="3"/>
      <c r="K3" s="3"/>
      <c r="L3" s="3"/>
      <c r="M3" s="3"/>
    </row>
    <row r="4" spans="1:13">
      <c r="A4" s="4">
        <v>46029</v>
      </c>
      <c r="B4" s="5" t="s">
        <v>10</v>
      </c>
      <c r="C4" s="5">
        <v>1.3</v>
      </c>
      <c r="D4" s="5">
        <v>78</v>
      </c>
      <c r="E4" s="5">
        <f t="shared" si="0"/>
        <v>101.4</v>
      </c>
      <c r="F4" s="5">
        <f t="shared" si="1"/>
        <v>66.542000000000016</v>
      </c>
      <c r="G4" s="5">
        <f t="shared" si="2"/>
        <v>884.05800000000011</v>
      </c>
      <c r="H4" s="6" t="str">
        <f t="shared" si="3"/>
        <v/>
      </c>
      <c r="I4" s="3"/>
      <c r="J4" s="3"/>
      <c r="K4" s="3"/>
      <c r="L4" s="3"/>
      <c r="M4" s="3"/>
    </row>
    <row r="5" spans="1:13">
      <c r="A5" s="4">
        <v>46030</v>
      </c>
      <c r="B5" s="5" t="s">
        <v>11</v>
      </c>
      <c r="C5" s="5">
        <v>2.8</v>
      </c>
      <c r="D5" s="5">
        <v>32</v>
      </c>
      <c r="E5" s="5">
        <f t="shared" si="0"/>
        <v>89.6</v>
      </c>
      <c r="F5" s="5">
        <f t="shared" si="1"/>
        <v>59.44400000000001</v>
      </c>
      <c r="G5" s="5">
        <f t="shared" si="2"/>
        <v>789.75599999999997</v>
      </c>
      <c r="H5" s="6" t="str">
        <f t="shared" si="3"/>
        <v/>
      </c>
      <c r="I5" s="3"/>
      <c r="J5" s="3"/>
      <c r="K5" s="3"/>
      <c r="L5" s="3"/>
      <c r="M5" s="3"/>
    </row>
    <row r="6" spans="1:13">
      <c r="A6" s="4">
        <v>46031</v>
      </c>
      <c r="B6" s="5" t="s">
        <v>12</v>
      </c>
      <c r="C6" s="5">
        <v>6.5</v>
      </c>
      <c r="D6" s="5">
        <v>18</v>
      </c>
      <c r="E6" s="5">
        <f t="shared" si="0"/>
        <v>117</v>
      </c>
      <c r="F6" s="5">
        <f t="shared" si="1"/>
        <v>53.171999999999997</v>
      </c>
      <c r="G6" s="5">
        <f t="shared" si="2"/>
        <v>706.42799999999988</v>
      </c>
      <c r="H6" s="6" t="str">
        <f t="shared" si="3"/>
        <v/>
      </c>
      <c r="I6" s="3"/>
      <c r="J6" s="3"/>
      <c r="K6" s="3"/>
      <c r="L6" s="3"/>
      <c r="M6" s="3"/>
    </row>
    <row r="7" spans="1:13">
      <c r="A7" s="4">
        <v>46032</v>
      </c>
      <c r="B7" s="5" t="s">
        <v>13</v>
      </c>
      <c r="C7" s="5">
        <v>1.9</v>
      </c>
      <c r="D7" s="5">
        <v>64</v>
      </c>
      <c r="E7" s="5">
        <f t="shared" si="0"/>
        <v>121.6</v>
      </c>
      <c r="F7" s="5">
        <f t="shared" si="1"/>
        <v>44.982000000000006</v>
      </c>
      <c r="G7" s="5">
        <f t="shared" si="2"/>
        <v>597.61799999999994</v>
      </c>
      <c r="H7" s="6" t="str">
        <f t="shared" si="3"/>
        <v/>
      </c>
      <c r="I7" s="3"/>
      <c r="J7" s="3"/>
      <c r="K7" s="3"/>
      <c r="L7" s="3"/>
      <c r="M7" s="3"/>
    </row>
    <row r="8" spans="1:13">
      <c r="A8" s="4">
        <v>46033</v>
      </c>
      <c r="B8" s="5" t="s">
        <v>14</v>
      </c>
      <c r="C8" s="5">
        <v>5.4</v>
      </c>
      <c r="D8" s="5">
        <v>27</v>
      </c>
      <c r="E8" s="5">
        <f t="shared" si="0"/>
        <v>145.80000000000001</v>
      </c>
      <c r="F8" s="5">
        <f t="shared" si="1"/>
        <v>36.470000000000006</v>
      </c>
      <c r="G8" s="5">
        <f t="shared" si="2"/>
        <v>484.53</v>
      </c>
      <c r="H8" s="6" t="str">
        <f t="shared" si="3"/>
        <v/>
      </c>
      <c r="I8" s="3"/>
      <c r="J8" s="3"/>
      <c r="K8" s="3"/>
      <c r="L8" s="3"/>
      <c r="M8" s="3"/>
    </row>
    <row r="9" spans="1:13">
      <c r="A9" s="4">
        <v>46034</v>
      </c>
      <c r="B9" s="5" t="s">
        <v>15</v>
      </c>
      <c r="C9" s="5">
        <v>9.8000000000000007</v>
      </c>
      <c r="D9" s="5">
        <v>14</v>
      </c>
      <c r="E9" s="5">
        <f t="shared" si="0"/>
        <v>137.20000000000002</v>
      </c>
      <c r="F9" s="5">
        <f t="shared" si="1"/>
        <v>26.264000000000006</v>
      </c>
      <c r="G9" s="5">
        <f t="shared" si="2"/>
        <v>348.93600000000004</v>
      </c>
      <c r="H9" s="6" t="str">
        <f t="shared" si="3"/>
        <v/>
      </c>
      <c r="I9" s="3"/>
      <c r="J9" s="3"/>
      <c r="K9" s="3"/>
      <c r="L9" s="3"/>
      <c r="M9" s="11">
        <v>7.0000000000000007E-2</v>
      </c>
    </row>
    <row r="10" spans="1:13">
      <c r="A10" s="4">
        <v>46035</v>
      </c>
      <c r="B10" s="5" t="s">
        <v>16</v>
      </c>
      <c r="C10" s="5">
        <v>4.5999999999999996</v>
      </c>
      <c r="D10" s="5">
        <v>22</v>
      </c>
      <c r="E10" s="5">
        <f t="shared" si="0"/>
        <v>101.19999999999999</v>
      </c>
      <c r="F10" s="5">
        <f t="shared" si="1"/>
        <v>16.66</v>
      </c>
      <c r="G10" s="5">
        <f t="shared" si="2"/>
        <v>221.33999999999997</v>
      </c>
      <c r="H10" s="6" t="str">
        <f t="shared" si="3"/>
        <v/>
      </c>
      <c r="I10" s="3"/>
      <c r="J10" s="3"/>
      <c r="K10" s="3"/>
      <c r="L10" s="3"/>
      <c r="M10" s="3"/>
    </row>
    <row r="11" spans="1:13">
      <c r="A11" s="4">
        <v>46036</v>
      </c>
      <c r="B11" s="5" t="s">
        <v>17</v>
      </c>
      <c r="C11" s="5">
        <v>7.2</v>
      </c>
      <c r="D11" s="5">
        <v>19</v>
      </c>
      <c r="E11" s="5">
        <f t="shared" si="0"/>
        <v>136.80000000000001</v>
      </c>
      <c r="F11" s="5">
        <f t="shared" si="1"/>
        <v>9.5760000000000023</v>
      </c>
      <c r="G11" s="5">
        <f t="shared" si="2"/>
        <v>127.224</v>
      </c>
      <c r="H11" s="6" t="str">
        <f t="shared" si="3"/>
        <v/>
      </c>
      <c r="I11" s="3"/>
      <c r="J11" s="3"/>
      <c r="K11" s="3"/>
      <c r="L11" s="3"/>
      <c r="M11" s="3"/>
    </row>
    <row r="12" spans="1:13">
      <c r="A12" s="8" t="s">
        <v>18</v>
      </c>
      <c r="B12" s="10">
        <f>MAX(D2:D11)</f>
        <v>120</v>
      </c>
      <c r="C12" s="7"/>
      <c r="D12" s="7"/>
      <c r="E12" s="7"/>
      <c r="F12" s="7"/>
      <c r="G12" s="7"/>
      <c r="H12" s="7"/>
      <c r="I12" s="3"/>
      <c r="J12" s="3"/>
      <c r="K12" s="3"/>
      <c r="L12" s="3"/>
      <c r="M12" s="3"/>
    </row>
    <row r="13" spans="1:13">
      <c r="A13" s="9" t="s">
        <v>19</v>
      </c>
      <c r="B13" s="10">
        <f>AVERAGE(D2:D11)</f>
        <v>43.9</v>
      </c>
      <c r="C13" s="7"/>
      <c r="D13" s="7"/>
      <c r="E13" s="7"/>
      <c r="F13" s="7"/>
      <c r="G13" s="7"/>
      <c r="H13" s="7"/>
      <c r="I13" s="3"/>
      <c r="J13" s="3"/>
      <c r="K13" s="3"/>
      <c r="L13" s="3"/>
      <c r="M13" s="3"/>
    </row>
    <row r="14" spans="1:13">
      <c r="A14" s="8" t="s">
        <v>20</v>
      </c>
      <c r="B14" s="10">
        <f>SUMIF(C:C,C2,G:G)</f>
        <v>1143.528</v>
      </c>
      <c r="C14" s="7"/>
      <c r="D14" s="7"/>
      <c r="E14" s="7"/>
      <c r="F14" s="7"/>
      <c r="G14" s="7"/>
      <c r="H14" s="7"/>
      <c r="I14" s="3"/>
      <c r="J14" s="3"/>
      <c r="K14" s="3"/>
      <c r="L14" s="3"/>
      <c r="M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2026-02-06T01:59:17Z</dcterms:created>
  <dcterms:modified xsi:type="dcterms:W3CDTF">2026-02-06T21:20:46Z</dcterms:modified>
  <cp:category/>
  <cp:contentStatus/>
</cp:coreProperties>
</file>