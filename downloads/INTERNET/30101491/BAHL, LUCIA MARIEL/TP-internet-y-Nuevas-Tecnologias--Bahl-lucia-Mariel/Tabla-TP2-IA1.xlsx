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D3FD498C-27F7-4BF5-AB08-F0F65EFDC1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B15" i="1"/>
  <c r="B14" i="1"/>
  <c r="B13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2" i="1"/>
  <c r="F2" i="1" l="1"/>
</calcChain>
</file>

<file path=xl/sharedStrings.xml><?xml version="1.0" encoding="utf-8"?>
<sst xmlns="http://schemas.openxmlformats.org/spreadsheetml/2006/main" count="21" uniqueCount="21">
  <si>
    <t>fecha</t>
  </si>
  <si>
    <t xml:space="preserve">producto </t>
  </si>
  <si>
    <t xml:space="preserve">precio unitario </t>
  </si>
  <si>
    <t>cantidad vendida</t>
  </si>
  <si>
    <t xml:space="preserve">total ventas </t>
  </si>
  <si>
    <t>total descuento</t>
  </si>
  <si>
    <t>ventas netas</t>
  </si>
  <si>
    <t xml:space="preserve">estado de venta </t>
  </si>
  <si>
    <t>Arroz</t>
  </si>
  <si>
    <t>Frijoles</t>
  </si>
  <si>
    <t>Leche</t>
  </si>
  <si>
    <t>Pan</t>
  </si>
  <si>
    <t>Huevos</t>
  </si>
  <si>
    <t>Manzana</t>
  </si>
  <si>
    <t>Pollo</t>
  </si>
  <si>
    <t>Queso</t>
  </si>
  <si>
    <t>Yogur</t>
  </si>
  <si>
    <t>Azúcar</t>
  </si>
  <si>
    <t xml:space="preserve">Producto mas vendido </t>
  </si>
  <si>
    <t xml:space="preserve">Promedio de ventas </t>
  </si>
  <si>
    <t xml:space="preserve">Ventas por 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</si>
</sst>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M10" sqref="M10"/>
    </sheetView>
  </sheetViews>
  <sheetFormatPr defaultRowHeight="15"/>
  <cols>
    <col min="1" max="1" width="25.140625" customWidth="1"/>
    <col min="2" max="2" width="12.5703125" customWidth="1"/>
    <col min="3" max="3" width="12.85546875" customWidth="1"/>
    <col min="4" max="4" width="14.5703125" customWidth="1"/>
    <col min="5" max="5" width="12.28515625" customWidth="1"/>
    <col min="6" max="6" width="14.5703125" bestFit="1" customWidth="1"/>
    <col min="7" max="7" width="14.85546875" customWidth="1"/>
    <col min="8" max="8" width="13.42578125" customWidth="1"/>
    <col min="13" max="13" width="11.28515625" customWidth="1"/>
  </cols>
  <sheetData>
    <row r="1" spans="1:1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>
      <c r="A2" s="2">
        <v>46023</v>
      </c>
      <c r="B2" t="s">
        <v>8</v>
      </c>
      <c r="C2">
        <v>1.1000000000000001</v>
      </c>
      <c r="D2">
        <v>25</v>
      </c>
      <c r="E2">
        <f>C2*D2</f>
        <v>27.500000000000004</v>
      </c>
      <c r="F2">
        <f>E2*7%</f>
        <v>1.9250000000000005</v>
      </c>
      <c r="G2">
        <f>E2-F2</f>
        <v>25.575000000000003</v>
      </c>
      <c r="H2" s="1" t="str">
        <f>IF(AND(G2&gt;1000,D2&gt;15),"SI","NO")</f>
        <v>NO</v>
      </c>
    </row>
    <row r="3" spans="1:13">
      <c r="A3" s="2">
        <v>46023</v>
      </c>
      <c r="B3" t="s">
        <v>9</v>
      </c>
      <c r="C3">
        <v>1.35</v>
      </c>
      <c r="D3">
        <v>18</v>
      </c>
      <c r="E3">
        <f t="shared" ref="E3:E11" si="0">C3*D3</f>
        <v>24.3</v>
      </c>
      <c r="F3">
        <f t="shared" ref="F3:F11" si="1">E3*7%</f>
        <v>1.7010000000000003</v>
      </c>
      <c r="G3">
        <f t="shared" ref="G3:G11" si="2">E3-F3</f>
        <v>22.599</v>
      </c>
      <c r="H3" s="1" t="str">
        <f t="shared" ref="H3:H11" si="3">IF(AND(G3&gt;1000,D3&gt;15),"SI","NO")</f>
        <v>NO</v>
      </c>
    </row>
    <row r="4" spans="1:13">
      <c r="A4" s="2">
        <v>46024</v>
      </c>
      <c r="B4" t="s">
        <v>10</v>
      </c>
      <c r="C4">
        <v>0.95</v>
      </c>
      <c r="D4">
        <v>30</v>
      </c>
      <c r="E4">
        <f t="shared" si="0"/>
        <v>28.5</v>
      </c>
      <c r="F4">
        <f t="shared" si="1"/>
        <v>1.9950000000000001</v>
      </c>
      <c r="G4">
        <f t="shared" si="2"/>
        <v>26.504999999999999</v>
      </c>
      <c r="H4" s="1" t="str">
        <f t="shared" si="3"/>
        <v>NO</v>
      </c>
    </row>
    <row r="5" spans="1:13">
      <c r="A5" s="2">
        <v>46024</v>
      </c>
      <c r="B5" t="s">
        <v>11</v>
      </c>
      <c r="C5">
        <v>1.2</v>
      </c>
      <c r="D5">
        <v>22</v>
      </c>
      <c r="E5">
        <f t="shared" si="0"/>
        <v>26.4</v>
      </c>
      <c r="F5">
        <f t="shared" si="1"/>
        <v>1.8480000000000001</v>
      </c>
      <c r="G5">
        <f t="shared" si="2"/>
        <v>24.552</v>
      </c>
      <c r="H5" s="1" t="str">
        <f t="shared" si="3"/>
        <v>NO</v>
      </c>
    </row>
    <row r="6" spans="1:13">
      <c r="A6" s="2">
        <v>46025</v>
      </c>
      <c r="B6" t="s">
        <v>12</v>
      </c>
      <c r="C6">
        <v>2.8</v>
      </c>
      <c r="D6">
        <v>12</v>
      </c>
      <c r="E6">
        <f t="shared" si="0"/>
        <v>33.599999999999994</v>
      </c>
      <c r="F6">
        <f t="shared" si="1"/>
        <v>2.3519999999999999</v>
      </c>
      <c r="G6">
        <f t="shared" si="2"/>
        <v>31.247999999999994</v>
      </c>
      <c r="H6" s="1" t="str">
        <f t="shared" si="3"/>
        <v>NO</v>
      </c>
    </row>
    <row r="7" spans="1:13">
      <c r="A7" s="2">
        <v>46025</v>
      </c>
      <c r="B7" t="s">
        <v>13</v>
      </c>
      <c r="C7">
        <v>0.5</v>
      </c>
      <c r="D7">
        <v>40</v>
      </c>
      <c r="E7">
        <f t="shared" si="0"/>
        <v>20</v>
      </c>
      <c r="F7">
        <f t="shared" si="1"/>
        <v>1.4000000000000001</v>
      </c>
      <c r="G7">
        <f t="shared" si="2"/>
        <v>18.600000000000001</v>
      </c>
      <c r="H7" s="1" t="str">
        <f t="shared" si="3"/>
        <v>NO</v>
      </c>
    </row>
    <row r="8" spans="1:13">
      <c r="A8" s="2">
        <v>46026</v>
      </c>
      <c r="B8" t="s">
        <v>14</v>
      </c>
      <c r="C8">
        <v>4.5</v>
      </c>
      <c r="D8">
        <v>10</v>
      </c>
      <c r="E8">
        <f t="shared" si="0"/>
        <v>45</v>
      </c>
      <c r="F8">
        <f t="shared" si="1"/>
        <v>3.1500000000000004</v>
      </c>
      <c r="G8">
        <f t="shared" si="2"/>
        <v>41.85</v>
      </c>
      <c r="H8" s="1" t="str">
        <f t="shared" si="3"/>
        <v>NO</v>
      </c>
    </row>
    <row r="9" spans="1:13">
      <c r="A9" s="2">
        <v>46026</v>
      </c>
      <c r="B9" t="s">
        <v>15</v>
      </c>
      <c r="C9">
        <v>3.2</v>
      </c>
      <c r="D9">
        <v>14</v>
      </c>
      <c r="E9">
        <f t="shared" si="0"/>
        <v>44.800000000000004</v>
      </c>
      <c r="F9">
        <f t="shared" si="1"/>
        <v>3.1360000000000006</v>
      </c>
      <c r="G9">
        <f t="shared" si="2"/>
        <v>41.664000000000001</v>
      </c>
      <c r="H9" s="1" t="str">
        <f t="shared" si="3"/>
        <v>NO</v>
      </c>
      <c r="M9">
        <f>SUM(F2,F11)</f>
        <v>2.9330000000000007</v>
      </c>
    </row>
    <row r="10" spans="1:13">
      <c r="A10" s="2">
        <v>46027</v>
      </c>
      <c r="B10" t="s">
        <v>16</v>
      </c>
      <c r="C10">
        <v>1.1000000000000001</v>
      </c>
      <c r="D10">
        <v>20</v>
      </c>
      <c r="E10">
        <f t="shared" si="0"/>
        <v>22</v>
      </c>
      <c r="F10">
        <f t="shared" si="1"/>
        <v>1.54</v>
      </c>
      <c r="G10">
        <f t="shared" si="2"/>
        <v>20.46</v>
      </c>
      <c r="H10" s="1" t="str">
        <f t="shared" si="3"/>
        <v>NO</v>
      </c>
    </row>
    <row r="11" spans="1:13">
      <c r="A11" s="2">
        <v>46027</v>
      </c>
      <c r="B11" t="s">
        <v>17</v>
      </c>
      <c r="C11">
        <v>0.9</v>
      </c>
      <c r="D11">
        <v>16</v>
      </c>
      <c r="E11">
        <f t="shared" si="0"/>
        <v>14.4</v>
      </c>
      <c r="F11">
        <f t="shared" si="1"/>
        <v>1.0080000000000002</v>
      </c>
      <c r="G11">
        <f t="shared" si="2"/>
        <v>13.391999999999999</v>
      </c>
      <c r="H11" s="1" t="str">
        <f t="shared" si="3"/>
        <v>NO</v>
      </c>
    </row>
    <row r="13" spans="1:13" ht="30.75">
      <c r="A13" s="1" t="s">
        <v>18</v>
      </c>
      <c r="B13">
        <f>MAX(D2,D11)</f>
        <v>25</v>
      </c>
    </row>
    <row r="14" spans="1:13">
      <c r="A14" t="s">
        <v>19</v>
      </c>
      <c r="B14">
        <f>AVERAGE(E2,E11)</f>
        <v>20.950000000000003</v>
      </c>
    </row>
    <row r="15" spans="1:13">
      <c r="A15" t="s">
        <v>20</v>
      </c>
      <c r="B15">
        <f>SUMIF(A2:A11,A2,G2:G11)</f>
        <v>48.174000000000007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2026-02-07T13:49:08Z</dcterms:created>
  <dcterms:modified xsi:type="dcterms:W3CDTF">2026-02-07T15:04:40Z</dcterms:modified>
  <cp:category/>
  <cp:contentStatus/>
</cp:coreProperties>
</file>