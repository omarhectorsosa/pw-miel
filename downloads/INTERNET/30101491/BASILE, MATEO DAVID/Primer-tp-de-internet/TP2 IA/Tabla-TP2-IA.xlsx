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Ventas" sheetId="1" r:id="rId4"/>
  </sheets>
  <definedNames/>
  <calcPr/>
  <extLst>
    <ext uri="GoogleSheetsCustomDataVersion2">
      <go:sheetsCustomData xmlns:go="http://customooxmlschemas.google.com/" r:id="rId5" roundtripDataChecksum="ieoTmCZADKKUQJ5jIY+CwUe1dWVIvbD7xNUr5Oj0BT4="/>
    </ext>
  </extLst>
</workbook>
</file>

<file path=xl/sharedStrings.xml><?xml version="1.0" encoding="utf-8"?>
<sst xmlns="http://schemas.openxmlformats.org/spreadsheetml/2006/main" count="21" uniqueCount="21">
  <si>
    <t>Fecha</t>
  </si>
  <si>
    <t>Nombre del producto</t>
  </si>
  <si>
    <t>Precio unitario</t>
  </si>
  <si>
    <t>Cantidad vendida</t>
  </si>
  <si>
    <t xml:space="preserve">Total de ventas </t>
  </si>
  <si>
    <t>Total descuento</t>
  </si>
  <si>
    <t xml:space="preserve">Ventas netas </t>
  </si>
  <si>
    <t xml:space="preserve">Estado de venta </t>
  </si>
  <si>
    <t>Medias antideslizantes</t>
  </si>
  <si>
    <t>Camisetas</t>
  </si>
  <si>
    <t>Shorts</t>
  </si>
  <si>
    <t>Botines</t>
  </si>
  <si>
    <t>Canilleras</t>
  </si>
  <si>
    <t>Buzos</t>
  </si>
  <si>
    <t>Pantalones</t>
  </si>
  <si>
    <t>Pecheras</t>
  </si>
  <si>
    <t>Zapatillas</t>
  </si>
  <si>
    <t>Botellas de agua</t>
  </si>
  <si>
    <t>Producto más vendido</t>
  </si>
  <si>
    <t xml:space="preserve">Promedio de ventas </t>
  </si>
  <si>
    <t xml:space="preserve">Ventas por fecha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</si>
</sst>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0"/>
    <col customWidth="1" min="3" max="3" width="13.71"/>
    <col customWidth="1" min="4" max="4" width="16.0"/>
    <col customWidth="1" min="5" max="5" width="14.0"/>
    <col customWidth="1" min="6" max="6" width="14.57"/>
    <col customWidth="1" min="7" max="7" width="12.0"/>
    <col customWidth="1" min="8" max="8" width="14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46054.0</v>
      </c>
      <c r="B2" s="4" t="s">
        <v>8</v>
      </c>
      <c r="C2" s="5">
        <v>3500.0</v>
      </c>
      <c r="D2" s="4">
        <v>12.0</v>
      </c>
      <c r="E2" s="4">
        <f t="shared" ref="E2:E11" si="1">(C2*D2)</f>
        <v>42000</v>
      </c>
      <c r="F2" s="5">
        <f t="shared" ref="F2:F11" si="2">E2*7%</f>
        <v>2940</v>
      </c>
      <c r="G2" s="4">
        <f t="shared" ref="G2:G11" si="3">C2*D2-F2</f>
        <v>39060</v>
      </c>
      <c r="H2" s="4" t="str">
        <f>IF(AND(G2&gt;1000,D2&gt;15),"Completa","")</f>
        <v/>
      </c>
    </row>
    <row r="3">
      <c r="A3" s="3">
        <v>46054.0</v>
      </c>
      <c r="B3" s="4" t="s">
        <v>9</v>
      </c>
      <c r="C3" s="5">
        <v>8000.0</v>
      </c>
      <c r="D3" s="4">
        <v>7.0</v>
      </c>
      <c r="E3" s="4">
        <f t="shared" si="1"/>
        <v>56000</v>
      </c>
      <c r="F3" s="5">
        <f t="shared" si="2"/>
        <v>3920</v>
      </c>
      <c r="G3" s="4">
        <f t="shared" si="3"/>
        <v>52080</v>
      </c>
      <c r="H3" s="4" t="str">
        <f t="shared" ref="H3:H11" si="4">IF(AND(G3&gt;100,D3&gt;5),"Completa","")</f>
        <v>Completa</v>
      </c>
    </row>
    <row r="4">
      <c r="A4" s="3">
        <v>46055.0</v>
      </c>
      <c r="B4" s="4" t="s">
        <v>10</v>
      </c>
      <c r="C4" s="5">
        <v>5500.0</v>
      </c>
      <c r="D4" s="4">
        <v>5.0</v>
      </c>
      <c r="E4" s="4">
        <f t="shared" si="1"/>
        <v>27500</v>
      </c>
      <c r="F4" s="5">
        <f t="shared" si="2"/>
        <v>1925</v>
      </c>
      <c r="G4" s="4">
        <f t="shared" si="3"/>
        <v>25575</v>
      </c>
      <c r="H4" s="4" t="str">
        <f t="shared" si="4"/>
        <v/>
      </c>
    </row>
    <row r="5">
      <c r="A5" s="3">
        <v>46055.0</v>
      </c>
      <c r="B5" s="4" t="s">
        <v>11</v>
      </c>
      <c r="C5" s="5">
        <v>40000.0</v>
      </c>
      <c r="D5" s="4">
        <v>3.0</v>
      </c>
      <c r="E5" s="4">
        <f t="shared" si="1"/>
        <v>120000</v>
      </c>
      <c r="F5" s="5">
        <f t="shared" si="2"/>
        <v>8400</v>
      </c>
      <c r="G5" s="4">
        <f t="shared" si="3"/>
        <v>111600</v>
      </c>
      <c r="H5" s="4" t="str">
        <f t="shared" si="4"/>
        <v/>
      </c>
    </row>
    <row r="6">
      <c r="A6" s="3">
        <v>46056.0</v>
      </c>
      <c r="B6" s="4" t="s">
        <v>12</v>
      </c>
      <c r="C6" s="5">
        <v>2500.0</v>
      </c>
      <c r="D6" s="4">
        <v>9.0</v>
      </c>
      <c r="E6" s="4">
        <f t="shared" si="1"/>
        <v>22500</v>
      </c>
      <c r="F6" s="5">
        <f t="shared" si="2"/>
        <v>1575</v>
      </c>
      <c r="G6" s="4">
        <f t="shared" si="3"/>
        <v>20925</v>
      </c>
      <c r="H6" s="4" t="str">
        <f t="shared" si="4"/>
        <v>Completa</v>
      </c>
    </row>
    <row r="7">
      <c r="A7" s="3">
        <v>46056.0</v>
      </c>
      <c r="B7" s="4" t="s">
        <v>13</v>
      </c>
      <c r="C7" s="5">
        <v>15000.0</v>
      </c>
      <c r="D7" s="4">
        <v>4.0</v>
      </c>
      <c r="E7" s="4">
        <f t="shared" si="1"/>
        <v>60000</v>
      </c>
      <c r="F7" s="5">
        <f t="shared" si="2"/>
        <v>4200</v>
      </c>
      <c r="G7" s="4">
        <f t="shared" si="3"/>
        <v>55800</v>
      </c>
      <c r="H7" s="4" t="str">
        <f t="shared" si="4"/>
        <v/>
      </c>
    </row>
    <row r="8">
      <c r="A8" s="3">
        <v>46057.0</v>
      </c>
      <c r="B8" s="4" t="s">
        <v>14</v>
      </c>
      <c r="C8" s="5">
        <v>18000.0</v>
      </c>
      <c r="D8" s="4">
        <v>6.0</v>
      </c>
      <c r="E8" s="4">
        <f t="shared" si="1"/>
        <v>108000</v>
      </c>
      <c r="F8" s="5">
        <f t="shared" si="2"/>
        <v>7560</v>
      </c>
      <c r="G8" s="4">
        <f t="shared" si="3"/>
        <v>100440</v>
      </c>
      <c r="H8" s="4" t="str">
        <f t="shared" si="4"/>
        <v>Completa</v>
      </c>
    </row>
    <row r="9">
      <c r="A9" s="3">
        <v>46057.0</v>
      </c>
      <c r="B9" s="4" t="s">
        <v>15</v>
      </c>
      <c r="C9" s="5">
        <v>3000.0</v>
      </c>
      <c r="D9" s="4">
        <v>8.0</v>
      </c>
      <c r="E9" s="4">
        <f t="shared" si="1"/>
        <v>24000</v>
      </c>
      <c r="F9" s="5">
        <f t="shared" si="2"/>
        <v>1680</v>
      </c>
      <c r="G9" s="4">
        <f t="shared" si="3"/>
        <v>22320</v>
      </c>
      <c r="H9" s="4" t="str">
        <f t="shared" si="4"/>
        <v>Completa</v>
      </c>
    </row>
    <row r="10">
      <c r="A10" s="3">
        <v>46058.0</v>
      </c>
      <c r="B10" s="4" t="s">
        <v>16</v>
      </c>
      <c r="C10" s="5">
        <v>35000.0</v>
      </c>
      <c r="D10" s="4">
        <v>2.0</v>
      </c>
      <c r="E10" s="4">
        <f t="shared" si="1"/>
        <v>70000</v>
      </c>
      <c r="F10" s="5">
        <f t="shared" si="2"/>
        <v>4900</v>
      </c>
      <c r="G10" s="4">
        <f t="shared" si="3"/>
        <v>65100</v>
      </c>
      <c r="H10" s="4" t="str">
        <f t="shared" si="4"/>
        <v/>
      </c>
    </row>
    <row r="11">
      <c r="A11" s="3">
        <v>46058.0</v>
      </c>
      <c r="B11" s="4" t="s">
        <v>17</v>
      </c>
      <c r="C11" s="5">
        <v>1800.0</v>
      </c>
      <c r="D11" s="4">
        <v>15.0</v>
      </c>
      <c r="E11" s="4">
        <f t="shared" si="1"/>
        <v>27000</v>
      </c>
      <c r="F11" s="5">
        <f t="shared" si="2"/>
        <v>1890</v>
      </c>
      <c r="G11" s="4">
        <f t="shared" si="3"/>
        <v>25110</v>
      </c>
      <c r="H11" s="4" t="str">
        <f t="shared" si="4"/>
        <v>Completa</v>
      </c>
    </row>
    <row r="13">
      <c r="B13" s="6" t="s">
        <v>18</v>
      </c>
      <c r="D13" s="5">
        <v>15.0</v>
      </c>
    </row>
    <row r="14">
      <c r="B14" s="6" t="s">
        <v>19</v>
      </c>
      <c r="D14" s="4">
        <f>AVERAGE(D2:D11)</f>
        <v>7.1</v>
      </c>
    </row>
    <row r="15">
      <c r="B15" s="6" t="s">
        <v>20</v>
      </c>
      <c r="D15" s="4">
        <f>SUMIF(A2:A11, "01/02/2026", E2:E11)</f>
        <v>98000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3:C13"/>
    <mergeCell ref="B14:C14"/>
    <mergeCell ref="B15:C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2026-02-07T02:12:01Z</dcterms:created>
  <dc:creator>openpyxl</dc:creator>
</cp:coreProperties>
</file>