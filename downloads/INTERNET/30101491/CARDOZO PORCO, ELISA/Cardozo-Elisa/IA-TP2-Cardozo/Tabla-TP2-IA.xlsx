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E27D47DA-8899-4909-A3A6-B7A0921FAF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<sst xmlns="http://schemas.openxmlformats.org/spreadsheetml/2006/main" count="22" uniqueCount="22">
  <si>
    <t>Fecha</t>
  </si>
  <si>
    <t>Producto</t>
  </si>
  <si>
    <t>Precio Unitario</t>
  </si>
  <si>
    <t>Cantidad Vendida</t>
  </si>
  <si>
    <t>Total Ventas</t>
  </si>
  <si>
    <t>Total Descuento</t>
  </si>
  <si>
    <t>Ventas Netas</t>
  </si>
  <si>
    <t>Estado de Venta</t>
  </si>
  <si>
    <t>Laptop</t>
  </si>
  <si>
    <t>Mouse</t>
  </si>
  <si>
    <t>Teclado</t>
  </si>
  <si>
    <t>Monitor</t>
  </si>
  <si>
    <t>Impresora</t>
  </si>
  <si>
    <t>Memoria USB</t>
  </si>
  <si>
    <t>Disco Duro</t>
  </si>
  <si>
    <t>Descuento:</t>
  </si>
  <si>
    <t>Audifonos</t>
  </si>
  <si>
    <t>Webcam</t>
  </si>
  <si>
    <t>Tablet</t>
  </si>
  <si>
    <t>Producto Mas Vendido:</t>
  </si>
  <si>
    <t>Promedio de Ventas:</t>
  </si>
  <si>
    <t>Ventas por 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</si>
</sst>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_-;\-[$$-2C0A]\ * #,##0_-;_-[$$-2C0A]\ * &quot;-&quot;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9" fontId="0" fillId="0" borderId="1" xfId="0" applyNumberFormat="1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12" sqref="A12:A14"/>
    </sheetView>
  </sheetViews>
  <sheetFormatPr defaultRowHeight="15"/>
  <cols>
    <col min="1" max="1" width="21.42578125" bestFit="1" customWidth="1"/>
    <col min="2" max="2" width="14.85546875" bestFit="1" customWidth="1"/>
    <col min="3" max="3" width="13.85546875" bestFit="1" customWidth="1"/>
    <col min="4" max="4" width="16.28515625" bestFit="1" customWidth="1"/>
    <col min="5" max="5" width="11.7109375" bestFit="1" customWidth="1"/>
    <col min="6" max="6" width="15" bestFit="1" customWidth="1"/>
    <col min="7" max="7" width="12.42578125" bestFit="1" customWidth="1"/>
    <col min="8" max="8" width="20.28515625" bestFit="1" customWidth="1"/>
    <col min="13" max="13" width="13.8554687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3">
      <c r="A2" s="2">
        <v>46027</v>
      </c>
      <c r="B2" s="1" t="s">
        <v>8</v>
      </c>
      <c r="C2" s="3">
        <v>1200000</v>
      </c>
      <c r="D2" s="1">
        <v>3</v>
      </c>
      <c r="E2" s="3">
        <f>C2*D2</f>
        <v>3600000</v>
      </c>
      <c r="F2" s="3">
        <f>E2*M$9</f>
        <v>252000.00000000003</v>
      </c>
      <c r="G2" s="3">
        <f>E2*(1-M$9)</f>
        <v>3348000</v>
      </c>
      <c r="H2" s="1" t="str">
        <f>IF(AND(G2&gt;1000,D2&gt;15),"Completa","")</f>
        <v/>
      </c>
    </row>
    <row r="3" spans="1:13">
      <c r="A3" s="2">
        <v>46028</v>
      </c>
      <c r="B3" s="1" t="s">
        <v>9</v>
      </c>
      <c r="C3" s="3">
        <v>12500</v>
      </c>
      <c r="D3" s="1">
        <v>20</v>
      </c>
      <c r="E3" s="3">
        <f t="shared" ref="E3:E11" si="0">C3*D3</f>
        <v>250000</v>
      </c>
      <c r="F3" s="3">
        <f t="shared" ref="F3:F11" si="1">E3*M$9</f>
        <v>17500</v>
      </c>
      <c r="G3" s="3">
        <f t="shared" ref="G3:G11" si="2">E3*(1-M$9)</f>
        <v>232499.99999999997</v>
      </c>
      <c r="H3" s="1" t="str">
        <f t="shared" ref="H3:H11" si="3">IF(AND(G3&gt;1000,D3&gt;15),"Completa","")</f>
        <v>Completa</v>
      </c>
    </row>
    <row r="4" spans="1:13">
      <c r="A4" s="2">
        <v>46029</v>
      </c>
      <c r="B4" s="1" t="s">
        <v>10</v>
      </c>
      <c r="C4" s="3">
        <v>28000</v>
      </c>
      <c r="D4" s="1">
        <v>12</v>
      </c>
      <c r="E4" s="3">
        <f t="shared" si="0"/>
        <v>336000</v>
      </c>
      <c r="F4" s="3">
        <f t="shared" si="1"/>
        <v>23520.000000000004</v>
      </c>
      <c r="G4" s="3">
        <f t="shared" si="2"/>
        <v>312480</v>
      </c>
      <c r="H4" s="1" t="str">
        <f t="shared" si="3"/>
        <v/>
      </c>
    </row>
    <row r="5" spans="1:13">
      <c r="A5" s="2">
        <v>46030</v>
      </c>
      <c r="B5" s="1" t="s">
        <v>11</v>
      </c>
      <c r="C5" s="3">
        <v>350000</v>
      </c>
      <c r="D5" s="1">
        <v>5</v>
      </c>
      <c r="E5" s="3">
        <f t="shared" si="0"/>
        <v>1750000</v>
      </c>
      <c r="F5" s="3">
        <f t="shared" si="1"/>
        <v>122500.00000000001</v>
      </c>
      <c r="G5" s="3">
        <f t="shared" si="2"/>
        <v>1627500</v>
      </c>
      <c r="H5" s="1" t="str">
        <f t="shared" si="3"/>
        <v/>
      </c>
    </row>
    <row r="6" spans="1:13">
      <c r="A6" s="2">
        <v>46031</v>
      </c>
      <c r="B6" s="1" t="s">
        <v>12</v>
      </c>
      <c r="C6" s="3">
        <v>420000</v>
      </c>
      <c r="D6" s="1">
        <v>4</v>
      </c>
      <c r="E6" s="3">
        <f t="shared" si="0"/>
        <v>1680000</v>
      </c>
      <c r="F6" s="3">
        <f t="shared" si="1"/>
        <v>117600.00000000001</v>
      </c>
      <c r="G6" s="3">
        <f t="shared" si="2"/>
        <v>1562400</v>
      </c>
      <c r="H6" s="1" t="str">
        <f t="shared" si="3"/>
        <v/>
      </c>
    </row>
    <row r="7" spans="1:13">
      <c r="A7" s="2">
        <v>46032</v>
      </c>
      <c r="B7" s="1" t="s">
        <v>13</v>
      </c>
      <c r="C7" s="3">
        <v>9500</v>
      </c>
      <c r="D7" s="1">
        <v>30</v>
      </c>
      <c r="E7" s="3">
        <f t="shared" si="0"/>
        <v>285000</v>
      </c>
      <c r="F7" s="3">
        <f t="shared" si="1"/>
        <v>19950.000000000004</v>
      </c>
      <c r="G7" s="3">
        <f t="shared" si="2"/>
        <v>265050</v>
      </c>
      <c r="H7" s="1" t="str">
        <f t="shared" si="3"/>
        <v>Completa</v>
      </c>
    </row>
    <row r="8" spans="1:13">
      <c r="A8" s="2">
        <v>46033</v>
      </c>
      <c r="B8" s="1" t="s">
        <v>14</v>
      </c>
      <c r="C8" s="3">
        <v>180000</v>
      </c>
      <c r="D8" s="1">
        <v>8</v>
      </c>
      <c r="E8" s="3">
        <f t="shared" si="0"/>
        <v>1440000</v>
      </c>
      <c r="F8" s="3">
        <f t="shared" si="1"/>
        <v>100800.00000000001</v>
      </c>
      <c r="G8" s="3">
        <f t="shared" si="2"/>
        <v>1339200</v>
      </c>
      <c r="H8" s="1" t="str">
        <f t="shared" si="3"/>
        <v/>
      </c>
      <c r="M8" s="1" t="s">
        <v>15</v>
      </c>
    </row>
    <row r="9" spans="1:13">
      <c r="A9" s="2">
        <v>46034</v>
      </c>
      <c r="B9" s="1" t="s">
        <v>16</v>
      </c>
      <c r="C9" s="3">
        <v>65000</v>
      </c>
      <c r="D9" s="1">
        <v>15</v>
      </c>
      <c r="E9" s="3">
        <f t="shared" si="0"/>
        <v>975000</v>
      </c>
      <c r="F9" s="3">
        <f t="shared" si="1"/>
        <v>68250</v>
      </c>
      <c r="G9" s="3">
        <f t="shared" si="2"/>
        <v>906749.99999999988</v>
      </c>
      <c r="H9" s="1" t="str">
        <f t="shared" si="3"/>
        <v/>
      </c>
      <c r="M9" s="5">
        <v>7.0000000000000007E-2</v>
      </c>
    </row>
    <row r="10" spans="1:13">
      <c r="A10" s="2">
        <v>46035</v>
      </c>
      <c r="B10" s="1" t="s">
        <v>17</v>
      </c>
      <c r="C10" s="3">
        <v>95000</v>
      </c>
      <c r="D10" s="1">
        <v>7</v>
      </c>
      <c r="E10" s="3">
        <f t="shared" si="0"/>
        <v>665000</v>
      </c>
      <c r="F10" s="3">
        <f t="shared" si="1"/>
        <v>46550.000000000007</v>
      </c>
      <c r="G10" s="3">
        <f t="shared" si="2"/>
        <v>618450</v>
      </c>
      <c r="H10" s="1" t="str">
        <f t="shared" si="3"/>
        <v/>
      </c>
    </row>
    <row r="11" spans="1:13">
      <c r="A11" s="2">
        <v>46036</v>
      </c>
      <c r="B11" s="1" t="s">
        <v>18</v>
      </c>
      <c r="C11" s="3">
        <v>520000</v>
      </c>
      <c r="D11" s="1">
        <v>6</v>
      </c>
      <c r="E11" s="3">
        <f t="shared" si="0"/>
        <v>3120000</v>
      </c>
      <c r="F11" s="3">
        <f t="shared" si="1"/>
        <v>218400.00000000003</v>
      </c>
      <c r="G11" s="3">
        <f t="shared" si="2"/>
        <v>2901600</v>
      </c>
      <c r="H11" s="1" t="str">
        <f t="shared" si="3"/>
        <v/>
      </c>
    </row>
    <row r="12" spans="1:13">
      <c r="A12" s="7" t="s">
        <v>19</v>
      </c>
      <c r="B12">
        <f>MAX(D2:D11)</f>
        <v>30</v>
      </c>
    </row>
    <row r="13" spans="1:13">
      <c r="A13" s="7" t="s">
        <v>20</v>
      </c>
      <c r="B13" s="6">
        <f>AVERAGE(G2:G11)</f>
        <v>1311393</v>
      </c>
    </row>
    <row r="14" spans="1:13">
      <c r="A14" s="7" t="s">
        <v>21</v>
      </c>
      <c r="B14" s="6">
        <f>SUMIF(A2:A11,A2,G2:G11)</f>
        <v>3348000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2026-02-07T00:11:33Z</dcterms:created>
  <dcterms:modified xsi:type="dcterms:W3CDTF">2026-02-07T19:46:27Z</dcterms:modified>
  <cp:category/>
  <cp:contentStatus/>
</cp:coreProperties>
</file>