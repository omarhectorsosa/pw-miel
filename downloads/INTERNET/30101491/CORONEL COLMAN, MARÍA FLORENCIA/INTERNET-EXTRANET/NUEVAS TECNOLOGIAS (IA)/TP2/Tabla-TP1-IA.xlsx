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56194389-DD59-446E-A88E-7E197FD3107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2" i="1"/>
  <c r="B13" i="1"/>
  <c r="H8" i="1"/>
  <c r="H7" i="1"/>
  <c r="H5" i="1"/>
  <c r="H4" i="1"/>
  <c r="H2" i="1"/>
  <c r="H3" i="1"/>
  <c r="H6" i="1"/>
  <c r="H9" i="1"/>
  <c r="H10" i="1"/>
  <c r="H11" i="1"/>
  <c r="E3" i="1"/>
  <c r="E4" i="1"/>
  <c r="E5" i="1"/>
  <c r="E6" i="1"/>
  <c r="E7" i="1"/>
  <c r="E8" i="1"/>
  <c r="E9" i="1"/>
  <c r="E10" i="1"/>
  <c r="E11" i="1"/>
  <c r="E2" i="1"/>
  <c r="F11" i="1" l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2" i="1"/>
  <c r="G2" i="1" s="1"/>
</calcChain>
</file>

<file path=xl/sharedStrings.xml><?xml version="1.0" encoding="utf-8"?>
<sst xmlns="http://schemas.openxmlformats.org/spreadsheetml/2006/main" count="21" uniqueCount="21">
  <si>
    <t>Fecha</t>
  </si>
  <si>
    <t>Producto</t>
  </si>
  <si>
    <t xml:space="preserve">Precio unitario </t>
  </si>
  <si>
    <t>Cantidad vendida</t>
  </si>
  <si>
    <t>Total ventas</t>
  </si>
  <si>
    <t>Total descuentos</t>
  </si>
  <si>
    <t>Ventas netas</t>
  </si>
  <si>
    <t>Estado de venta</t>
  </si>
  <si>
    <t>Coca-Cola 1.5 L</t>
  </si>
  <si>
    <t>Pan Bimbo Blanco</t>
  </si>
  <si>
    <t>Leche La Serenísima 1 L</t>
  </si>
  <si>
    <t>Arroz Gallo 1 kg</t>
  </si>
  <si>
    <t>Aceite Natura 900 ml</t>
  </si>
  <si>
    <t>Azúcar Ledesma 1 kg</t>
  </si>
  <si>
    <t>Fideos Lucchetti 500 g</t>
  </si>
  <si>
    <t>Galletitas Oreo 154 g</t>
  </si>
  <si>
    <t>Shampoo Head &amp; Shoulders 400 ml</t>
  </si>
  <si>
    <t>Papel Higiénico Elite x4</t>
  </si>
  <si>
    <t>Producto mas vendido</t>
  </si>
  <si>
    <t>Promedio ventas</t>
  </si>
  <si>
    <t>Ventas por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</si>
</sst>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(&quot;$&quot;* #,##0.000_);_(&quot;$&quot;* \(#,##0.000\);_(&quot;$&quot;* &quot;-&quot;???_);_(@_)"/>
    <numFmt numFmtId="166" formatCode="_-[$$-409]* #,##0.00_ ;_-[$$-409]* \-#,##0.00\ ;_-[$$-409]* &quot;-&quot;??_ ;_-@_ "/>
    <numFmt numFmtId="167" formatCode="_-[$$-2C0A]\ * #,##0.00_-;\-[$$-2C0A]\ * #,##0.00_-;_-[$$-2C0A]\ * &quot;-&quot;??_-;_-@_-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/>
    <xf numFmtId="14" fontId="1" fillId="2" borderId="1" xfId="0" applyNumberFormat="1" applyFont="1" applyFill="1" applyBorder="1"/>
    <xf numFmtId="165" fontId="0" fillId="0" borderId="1" xfId="0" applyNumberFormat="1" applyBorder="1"/>
    <xf numFmtId="9" fontId="0" fillId="0" borderId="1" xfId="0" applyNumberFormat="1" applyBorder="1"/>
    <xf numFmtId="0" fontId="0" fillId="0" borderId="1" xfId="0" applyBorder="1" applyAlignment="1">
      <alignment wrapText="1"/>
    </xf>
    <xf numFmtId="167" fontId="0" fillId="0" borderId="1" xfId="0" applyNumberFormat="1" applyBorder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B14" sqref="B14"/>
    </sheetView>
  </sheetViews>
  <sheetFormatPr defaultRowHeight="15"/>
  <cols>
    <col min="1" max="1" width="20.42578125" bestFit="1" customWidth="1"/>
    <col min="2" max="2" width="31.5703125" bestFit="1" customWidth="1"/>
    <col min="3" max="3" width="15.5703125" customWidth="1"/>
    <col min="4" max="4" width="16.5703125" bestFit="1" customWidth="1"/>
    <col min="5" max="5" width="13.85546875" customWidth="1"/>
    <col min="6" max="6" width="15.7109375" bestFit="1" customWidth="1"/>
    <col min="7" max="7" width="12.140625" bestFit="1" customWidth="1"/>
    <col min="8" max="8" width="15.85546875" customWidth="1"/>
  </cols>
  <sheetData>
    <row r="1" spans="1:13">
      <c r="A1" s="4" t="s">
        <v>0</v>
      </c>
      <c r="B1" s="4" t="s">
        <v>1</v>
      </c>
      <c r="C1" s="5" t="s">
        <v>2</v>
      </c>
      <c r="D1" s="4" t="s">
        <v>3</v>
      </c>
      <c r="E1" s="6" t="s">
        <v>4</v>
      </c>
      <c r="F1" s="4" t="s">
        <v>5</v>
      </c>
      <c r="G1" s="4" t="s">
        <v>6</v>
      </c>
      <c r="H1" s="4" t="s">
        <v>7</v>
      </c>
    </row>
    <row r="2" spans="1:13">
      <c r="A2" s="2">
        <v>46054</v>
      </c>
      <c r="B2" s="1" t="s">
        <v>8</v>
      </c>
      <c r="C2" s="11">
        <v>2300</v>
      </c>
      <c r="D2" s="1">
        <v>20</v>
      </c>
      <c r="E2" s="8">
        <f>C2*D2</f>
        <v>46000</v>
      </c>
      <c r="F2" s="8">
        <f>E2*$M$9</f>
        <v>3220.0000000000005</v>
      </c>
      <c r="G2" s="8">
        <f>E2-F2</f>
        <v>42780</v>
      </c>
      <c r="H2" s="10" t="str">
        <f>IF(AND(G2&gt;1000,D2&gt;15),"COMPLETA","INCOMPLETA")</f>
        <v>COMPLETA</v>
      </c>
    </row>
    <row r="3" spans="1:13">
      <c r="A3" s="2">
        <v>46082</v>
      </c>
      <c r="B3" s="1" t="s">
        <v>9</v>
      </c>
      <c r="C3" s="11">
        <v>3200</v>
      </c>
      <c r="D3" s="1">
        <v>15</v>
      </c>
      <c r="E3" s="8">
        <f t="shared" ref="E3:E11" si="0">C3*D3</f>
        <v>48000</v>
      </c>
      <c r="F3" s="8">
        <f t="shared" ref="F3:F11" si="1">E3*$M$9</f>
        <v>3360.0000000000005</v>
      </c>
      <c r="G3" s="8">
        <f t="shared" ref="G3:G11" si="2">E3-F3</f>
        <v>44640</v>
      </c>
      <c r="H3" s="10" t="str">
        <f t="shared" ref="H3:H11" si="3">IF(AND(G3&gt;1000,D3&gt;15),"Completa","INCOMPLETA")</f>
        <v>INCOMPLETA</v>
      </c>
    </row>
    <row r="4" spans="1:13">
      <c r="A4" s="2">
        <v>46082</v>
      </c>
      <c r="B4" s="1" t="s">
        <v>10</v>
      </c>
      <c r="C4" s="11">
        <v>1600</v>
      </c>
      <c r="D4" s="1">
        <v>25</v>
      </c>
      <c r="E4" s="8">
        <f t="shared" si="0"/>
        <v>40000</v>
      </c>
      <c r="F4" s="8">
        <f t="shared" si="1"/>
        <v>2800.0000000000005</v>
      </c>
      <c r="G4" s="8">
        <f t="shared" si="2"/>
        <v>37200</v>
      </c>
      <c r="H4" s="10" t="str">
        <f>IF(AND(G4&gt;1000,D4&gt;15),"COMPLETA","INCOMPLETA")</f>
        <v>COMPLETA</v>
      </c>
    </row>
    <row r="5" spans="1:13">
      <c r="A5" s="2">
        <v>46113</v>
      </c>
      <c r="B5" s="1" t="s">
        <v>11</v>
      </c>
      <c r="C5" s="11">
        <v>1900</v>
      </c>
      <c r="D5" s="1">
        <v>18</v>
      </c>
      <c r="E5" s="8">
        <f t="shared" si="0"/>
        <v>34200</v>
      </c>
      <c r="F5" s="8">
        <f t="shared" si="1"/>
        <v>2394.0000000000005</v>
      </c>
      <c r="G5" s="8">
        <f t="shared" si="2"/>
        <v>31806</v>
      </c>
      <c r="H5" s="10" t="str">
        <f>IF(AND(G5&gt;1000,D5&gt;15),"COMPLETA","INCOMPLETA")</f>
        <v>COMPLETA</v>
      </c>
    </row>
    <row r="6" spans="1:13">
      <c r="A6" s="2">
        <v>46143</v>
      </c>
      <c r="B6" s="1" t="s">
        <v>12</v>
      </c>
      <c r="C6" s="11">
        <v>4800</v>
      </c>
      <c r="D6" s="1">
        <v>12</v>
      </c>
      <c r="E6" s="8">
        <f t="shared" si="0"/>
        <v>57600</v>
      </c>
      <c r="F6" s="8">
        <f t="shared" si="1"/>
        <v>4032.0000000000005</v>
      </c>
      <c r="G6" s="8">
        <f t="shared" si="2"/>
        <v>53568</v>
      </c>
      <c r="H6" s="10" t="str">
        <f t="shared" si="3"/>
        <v>INCOMPLETA</v>
      </c>
    </row>
    <row r="7" spans="1:13">
      <c r="A7" s="2">
        <v>46174</v>
      </c>
      <c r="B7" s="1" t="s">
        <v>13</v>
      </c>
      <c r="C7" s="11">
        <v>1700</v>
      </c>
      <c r="D7" s="1">
        <v>22</v>
      </c>
      <c r="E7" s="8">
        <f t="shared" si="0"/>
        <v>37400</v>
      </c>
      <c r="F7" s="8">
        <f t="shared" si="1"/>
        <v>2618.0000000000005</v>
      </c>
      <c r="G7" s="8">
        <f t="shared" si="2"/>
        <v>34782</v>
      </c>
      <c r="H7" s="10" t="str">
        <f>IF(AND(G7&gt;1000,D7&gt;15),"COMPLETA","INCOMPLETA")</f>
        <v>COMPLETA</v>
      </c>
    </row>
    <row r="8" spans="1:13">
      <c r="A8" s="2">
        <v>46204</v>
      </c>
      <c r="B8" s="1" t="s">
        <v>14</v>
      </c>
      <c r="C8" s="11">
        <v>1400</v>
      </c>
      <c r="D8" s="1">
        <v>30</v>
      </c>
      <c r="E8" s="8">
        <f t="shared" si="0"/>
        <v>42000</v>
      </c>
      <c r="F8" s="8">
        <f t="shared" si="1"/>
        <v>2940.0000000000005</v>
      </c>
      <c r="G8" s="8">
        <f t="shared" si="2"/>
        <v>39060</v>
      </c>
      <c r="H8" s="10" t="str">
        <f>IF(AND(G8&gt;1000,D8&gt;15),"COMPLETA","INCOMPLETA")</f>
        <v>COMPLETA</v>
      </c>
    </row>
    <row r="9" spans="1:13">
      <c r="A9" s="2">
        <v>46235</v>
      </c>
      <c r="B9" s="1" t="s">
        <v>15</v>
      </c>
      <c r="C9" s="11">
        <v>2600</v>
      </c>
      <c r="D9" s="1">
        <v>14</v>
      </c>
      <c r="E9" s="8">
        <f t="shared" si="0"/>
        <v>36400</v>
      </c>
      <c r="F9" s="8">
        <f t="shared" si="1"/>
        <v>2548.0000000000005</v>
      </c>
      <c r="G9" s="8">
        <f t="shared" si="2"/>
        <v>33852</v>
      </c>
      <c r="H9" s="10" t="str">
        <f t="shared" si="3"/>
        <v>INCOMPLETA</v>
      </c>
      <c r="M9" s="9">
        <v>7.0000000000000007E-2</v>
      </c>
    </row>
    <row r="10" spans="1:13">
      <c r="A10" s="2">
        <v>46266</v>
      </c>
      <c r="B10" s="1" t="s">
        <v>16</v>
      </c>
      <c r="C10" s="11">
        <v>7500</v>
      </c>
      <c r="D10" s="1">
        <v>8</v>
      </c>
      <c r="E10" s="8">
        <f t="shared" si="0"/>
        <v>60000</v>
      </c>
      <c r="F10" s="8">
        <f t="shared" si="1"/>
        <v>4200</v>
      </c>
      <c r="G10" s="8">
        <f t="shared" si="2"/>
        <v>55800</v>
      </c>
      <c r="H10" s="10" t="str">
        <f t="shared" si="3"/>
        <v>INCOMPLETA</v>
      </c>
    </row>
    <row r="11" spans="1:13">
      <c r="A11" s="3">
        <v>46296</v>
      </c>
      <c r="B11" s="1" t="s">
        <v>17</v>
      </c>
      <c r="C11" s="11">
        <v>5900</v>
      </c>
      <c r="D11" s="1">
        <v>10</v>
      </c>
      <c r="E11" s="8">
        <f t="shared" si="0"/>
        <v>59000</v>
      </c>
      <c r="F11" s="8">
        <f t="shared" si="1"/>
        <v>4130</v>
      </c>
      <c r="G11" s="8">
        <f t="shared" si="2"/>
        <v>54870</v>
      </c>
      <c r="H11" s="10" t="str">
        <f t="shared" si="3"/>
        <v>INCOMPLETA</v>
      </c>
    </row>
    <row r="12" spans="1:13">
      <c r="A12" s="7" t="s">
        <v>18</v>
      </c>
      <c r="B12">
        <f>MAX(D2:D11)</f>
        <v>30</v>
      </c>
    </row>
    <row r="13" spans="1:13">
      <c r="A13" s="4" t="s">
        <v>19</v>
      </c>
      <c r="B13" s="12">
        <f>AVERAGE(E2:E11)</f>
        <v>46060</v>
      </c>
    </row>
    <row r="14" spans="1:13">
      <c r="A14" s="6" t="s">
        <v>20</v>
      </c>
      <c r="B14" s="13">
        <f>SUMIF(A2:A11,A2,G2:G11)</f>
        <v>42780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2026-02-06T16:35:53Z</dcterms:created>
  <dcterms:modified xsi:type="dcterms:W3CDTF">2026-02-06T19:43:11Z</dcterms:modified>
  <cp:category/>
  <cp:contentStatus/>
</cp:coreProperties>
</file>