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E709C524-241D-40AE-B10A-44BD4B15742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B13" i="1"/>
  <c r="B12" i="1"/>
  <c r="F2" i="1"/>
  <c r="H3" i="1"/>
  <c r="H4" i="1"/>
  <c r="H5" i="1"/>
  <c r="H6" i="1"/>
  <c r="H7" i="1"/>
  <c r="H8" i="1"/>
  <c r="H9" i="1"/>
  <c r="H10" i="1"/>
  <c r="H11" i="1"/>
  <c r="G2" i="1"/>
  <c r="H2" i="1" s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<sst xmlns="http://schemas.openxmlformats.org/spreadsheetml/2006/main" count="21" uniqueCount="21">
  <si>
    <t>Fecha</t>
  </si>
  <si>
    <t>Producto</t>
  </si>
  <si>
    <t>Precio unitario (ARS)</t>
  </si>
  <si>
    <t>Cantidad vendida</t>
  </si>
  <si>
    <t>Total Ventas</t>
  </si>
  <si>
    <t>Total Descuentos</t>
  </si>
  <si>
    <t>Ventas Netas</t>
  </si>
  <si>
    <t>Estado de Venta</t>
  </si>
  <si>
    <t>Leche La Serenísima 1L</t>
  </si>
  <si>
    <t>Pan Lactal Bimbo</t>
  </si>
  <si>
    <t>Coca-Cola 600 ml</t>
  </si>
  <si>
    <t>Arroz Gallo Oro 1 kg</t>
  </si>
  <si>
    <t>Aceite Natura 900 ml</t>
  </si>
  <si>
    <t>Huevos Blancos (12 unidades)</t>
  </si>
  <si>
    <t>Azúcar Ledesma 1 kg</t>
  </si>
  <si>
    <t>Atún La Campagnola en agua</t>
  </si>
  <si>
    <t>Café Nescafé Tradición 170 g</t>
  </si>
  <si>
    <t>Papel Higiénico Higienol (4 rollos)</t>
  </si>
  <si>
    <t>Producto más vendido</t>
  </si>
  <si>
    <t>Promedio de ventas</t>
  </si>
  <si>
    <t>Ventas por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</si>
</sst>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7" formatCode="[$$-2C0A]\ 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9" fontId="0" fillId="0" borderId="0" xfId="0" applyNumberFormat="1"/>
    <xf numFmtId="167" fontId="0" fillId="0" borderId="0" xfId="0" applyNumberFormat="1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/>
    <xf numFmtId="167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B12" sqref="B12"/>
    </sheetView>
  </sheetViews>
  <sheetFormatPr defaultRowHeight="15"/>
  <cols>
    <col min="1" max="1" width="20.28515625" bestFit="1" customWidth="1"/>
    <col min="2" max="2" width="36.5703125" bestFit="1" customWidth="1"/>
    <col min="3" max="3" width="19.28515625" bestFit="1" customWidth="1"/>
    <col min="4" max="4" width="16.42578125" bestFit="1" customWidth="1"/>
    <col min="5" max="5" width="11.7109375" bestFit="1" customWidth="1"/>
    <col min="6" max="6" width="15.85546875" bestFit="1" customWidth="1"/>
    <col min="7" max="7" width="12.42578125" bestFit="1" customWidth="1"/>
    <col min="8" max="8" width="36.5703125" bestFit="1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4" t="s">
        <v>7</v>
      </c>
    </row>
    <row r="2" spans="1:13">
      <c r="A2" s="6">
        <v>45662</v>
      </c>
      <c r="B2" s="7" t="s">
        <v>8</v>
      </c>
      <c r="C2" s="8">
        <v>1200</v>
      </c>
      <c r="D2" s="7">
        <v>35</v>
      </c>
      <c r="E2" s="8">
        <f>C2*D2</f>
        <v>42000</v>
      </c>
      <c r="F2" s="8">
        <f>E2*(1-$M$9)</f>
        <v>39060</v>
      </c>
      <c r="G2" s="8">
        <f>E2 - F2</f>
        <v>2940</v>
      </c>
      <c r="H2" s="9" t="str">
        <f>IF(AND(G2&gt;1000,D2&gt;15),"completa","pendiente")</f>
        <v>completa</v>
      </c>
    </row>
    <row r="3" spans="1:13">
      <c r="A3" s="6">
        <v>45663</v>
      </c>
      <c r="B3" s="7" t="s">
        <v>9</v>
      </c>
      <c r="C3" s="8">
        <v>2100</v>
      </c>
      <c r="D3" s="7">
        <v>20</v>
      </c>
      <c r="E3" s="8">
        <f t="shared" ref="E3:E11" si="0">C3*D3</f>
        <v>42000</v>
      </c>
      <c r="F3" s="8">
        <f t="shared" ref="F3:F11" si="1">E3*(1-$M$9)</f>
        <v>39060</v>
      </c>
      <c r="G3" s="8">
        <f t="shared" ref="G3:G11" si="2">E3 - F3</f>
        <v>2940</v>
      </c>
      <c r="H3" s="9" t="str">
        <f t="shared" ref="H3:H11" si="3">IF(AND(G3&gt;1000,D3&gt;15),"completa","pendiente")</f>
        <v>completa</v>
      </c>
    </row>
    <row r="4" spans="1:13">
      <c r="A4" s="6">
        <v>45664</v>
      </c>
      <c r="B4" s="7" t="s">
        <v>10</v>
      </c>
      <c r="C4" s="8">
        <v>1500</v>
      </c>
      <c r="D4" s="7">
        <v>50</v>
      </c>
      <c r="E4" s="8">
        <f t="shared" si="0"/>
        <v>75000</v>
      </c>
      <c r="F4" s="8">
        <f t="shared" si="1"/>
        <v>69750</v>
      </c>
      <c r="G4" s="8">
        <f t="shared" si="2"/>
        <v>5250</v>
      </c>
      <c r="H4" s="9" t="str">
        <f t="shared" si="3"/>
        <v>completa</v>
      </c>
    </row>
    <row r="5" spans="1:13">
      <c r="A5" s="6">
        <v>45665</v>
      </c>
      <c r="B5" s="7" t="s">
        <v>11</v>
      </c>
      <c r="C5" s="8">
        <v>1800</v>
      </c>
      <c r="D5" s="7">
        <v>15</v>
      </c>
      <c r="E5" s="8">
        <f t="shared" si="0"/>
        <v>27000</v>
      </c>
      <c r="F5" s="8">
        <f t="shared" si="1"/>
        <v>25110</v>
      </c>
      <c r="G5" s="8">
        <f t="shared" si="2"/>
        <v>1890</v>
      </c>
      <c r="H5" s="9" t="str">
        <f t="shared" si="3"/>
        <v>pendiente</v>
      </c>
    </row>
    <row r="6" spans="1:13">
      <c r="A6" s="6">
        <v>45666</v>
      </c>
      <c r="B6" s="7" t="s">
        <v>12</v>
      </c>
      <c r="C6" s="8">
        <v>3200</v>
      </c>
      <c r="D6" s="7">
        <v>12</v>
      </c>
      <c r="E6" s="8">
        <f t="shared" si="0"/>
        <v>38400</v>
      </c>
      <c r="F6" s="8">
        <f t="shared" si="1"/>
        <v>35712</v>
      </c>
      <c r="G6" s="8">
        <f t="shared" si="2"/>
        <v>2688</v>
      </c>
      <c r="H6" s="9" t="str">
        <f t="shared" si="3"/>
        <v>pendiente</v>
      </c>
    </row>
    <row r="7" spans="1:13">
      <c r="A7" s="6">
        <v>45667</v>
      </c>
      <c r="B7" s="7" t="s">
        <v>13</v>
      </c>
      <c r="C7" s="8">
        <v>2900</v>
      </c>
      <c r="D7" s="7">
        <v>18</v>
      </c>
      <c r="E7" s="8">
        <f t="shared" si="0"/>
        <v>52200</v>
      </c>
      <c r="F7" s="8">
        <f t="shared" si="1"/>
        <v>48546</v>
      </c>
      <c r="G7" s="8">
        <f t="shared" si="2"/>
        <v>3654</v>
      </c>
      <c r="H7" s="9" t="str">
        <f t="shared" si="3"/>
        <v>completa</v>
      </c>
    </row>
    <row r="8" spans="1:13">
      <c r="A8" s="6">
        <v>45668</v>
      </c>
      <c r="B8" s="7" t="s">
        <v>14</v>
      </c>
      <c r="C8" s="8">
        <v>1400</v>
      </c>
      <c r="D8" s="7">
        <v>22</v>
      </c>
      <c r="E8" s="8">
        <f t="shared" si="0"/>
        <v>30800</v>
      </c>
      <c r="F8" s="8">
        <f t="shared" si="1"/>
        <v>28643.999999999996</v>
      </c>
      <c r="G8" s="8">
        <f t="shared" si="2"/>
        <v>2156.0000000000036</v>
      </c>
      <c r="H8" s="9" t="str">
        <f t="shared" si="3"/>
        <v>completa</v>
      </c>
    </row>
    <row r="9" spans="1:13">
      <c r="A9" s="6">
        <v>45669</v>
      </c>
      <c r="B9" s="7" t="s">
        <v>15</v>
      </c>
      <c r="C9" s="8">
        <v>2300</v>
      </c>
      <c r="D9" s="7">
        <v>40</v>
      </c>
      <c r="E9" s="8">
        <f t="shared" si="0"/>
        <v>92000</v>
      </c>
      <c r="F9" s="8">
        <f t="shared" si="1"/>
        <v>85560</v>
      </c>
      <c r="G9" s="8">
        <f t="shared" si="2"/>
        <v>6440</v>
      </c>
      <c r="H9" s="9" t="str">
        <f t="shared" si="3"/>
        <v>completa</v>
      </c>
      <c r="M9" s="2">
        <v>7.0000000000000007E-2</v>
      </c>
    </row>
    <row r="10" spans="1:13">
      <c r="A10" s="6">
        <v>45670</v>
      </c>
      <c r="B10" s="7" t="s">
        <v>16</v>
      </c>
      <c r="C10" s="8">
        <v>6800</v>
      </c>
      <c r="D10" s="7">
        <v>8</v>
      </c>
      <c r="E10" s="8">
        <f t="shared" si="0"/>
        <v>54400</v>
      </c>
      <c r="F10" s="8">
        <f t="shared" si="1"/>
        <v>50592</v>
      </c>
      <c r="G10" s="8">
        <f t="shared" si="2"/>
        <v>3808</v>
      </c>
      <c r="H10" s="9" t="str">
        <f t="shared" si="3"/>
        <v>pendiente</v>
      </c>
    </row>
    <row r="11" spans="1:13">
      <c r="A11" s="6">
        <v>45671</v>
      </c>
      <c r="B11" s="7" t="s">
        <v>17</v>
      </c>
      <c r="C11" s="8">
        <v>2600</v>
      </c>
      <c r="D11" s="7">
        <v>16</v>
      </c>
      <c r="E11" s="8">
        <f t="shared" si="0"/>
        <v>41600</v>
      </c>
      <c r="F11" s="8">
        <f t="shared" si="1"/>
        <v>38688</v>
      </c>
      <c r="G11" s="8">
        <f t="shared" si="2"/>
        <v>2912</v>
      </c>
      <c r="H11" s="9" t="str">
        <f t="shared" si="3"/>
        <v>completa</v>
      </c>
    </row>
    <row r="12" spans="1:13">
      <c r="A12" s="1" t="s">
        <v>18</v>
      </c>
      <c r="B12" s="10" t="str">
        <f>INDEX(B2:B1000,MATCH(MAX(D2:D1000),D2:D1000,0))</f>
        <v>Coca-Cola 600 ml</v>
      </c>
    </row>
    <row r="13" spans="1:13">
      <c r="A13" s="1" t="s">
        <v>19</v>
      </c>
      <c r="B13" s="3">
        <f>AVERAGE(G2:G11)</f>
        <v>3467.8</v>
      </c>
    </row>
    <row r="14" spans="1:13">
      <c r="A14" s="1" t="s">
        <v>20</v>
      </c>
      <c r="B14">
        <f>SUMIF(A2:A100, A2, G2:G100)</f>
        <v>2940</v>
      </c>
    </row>
    <row r="15" spans="1:13">
      <c r="A15" s="1"/>
    </row>
  </sheetData>
  <pageMargins left="0.7" right="0.7" top="0.75" bottom="0.75" header="0.3" footer="0.3"/>
  <ignoredErrors>
    <ignoredError sqref="E2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2026-02-07T19:40:24Z</dcterms:created>
  <dcterms:modified xsi:type="dcterms:W3CDTF">2026-02-07T21:37:28Z</dcterms:modified>
  <cp:category/>
  <cp:contentStatus/>
</cp:coreProperties>
</file>