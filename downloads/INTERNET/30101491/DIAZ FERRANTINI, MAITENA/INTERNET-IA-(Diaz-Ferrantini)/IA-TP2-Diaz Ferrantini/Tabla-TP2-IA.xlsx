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7ABA1CE3-4AB8-4556-8926-BD29485206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2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<sst xmlns="http://schemas.openxmlformats.org/spreadsheetml/2006/main" count="21" uniqueCount="21">
  <si>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</si>
  <si>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</si>
  <si>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</si>
  <si>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</si>
  <si>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</si>
  <si>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>Total descuento</t>
  </si>
  <si>
    <t xml:space="preserve">Ventas netas </t>
  </si>
  <si>
    <t xml:space="preserve">Estado de venta </t>
  </si>
  <si>
    <t>Leche entera La Serenísima 1 L</t>
  </si>
  <si>
    <t>Pan lactal Bimbo clásico</t>
  </si>
  <si>
    <t>Azúcar Ledesma 1 kg</t>
  </si>
  <si>
    <t>Fideos Matarazzo 500 g</t>
  </si>
  <si>
    <t>Aceite Natura 900 ml</t>
  </si>
  <si>
    <t>Yerba Mate Playadito 1 kg</t>
  </si>
  <si>
    <t>Galletitas Chocolinas</t>
  </si>
  <si>
    <t>Arroz Gallo largo fino 1 kg</t>
  </si>
  <si>
    <t>Queso cremoso La Paulina (kg)</t>
  </si>
  <si>
    <t>Yogur bebible Ser frutilla</t>
  </si>
  <si>
    <t>Producto mas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</si>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</sst>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2C0A]\ 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9" fontId="0" fillId="4" borderId="8" xfId="0" applyNumberFormat="1" applyFon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3"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[$$-2C0A]\ #,##0.0"/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[$$-2C0A]\ #,##0.0"/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center" vertical="center"/>
    </dxf>
    <dxf>
      <font>
        <b/>
      </font>
      <fill>
        <patternFill patternType="solid">
          <fgColor indexed="64"/>
          <bgColor theme="2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AC4561-6254-47C4-A576-E3C959F02B2F}" name="Tabla3" displayName="Tabla3" ref="A1:H11" totalsRowShown="0" headerRowDxfId="12" dataDxfId="11" headerRowBorderDxfId="9" tableBorderDxfId="10" totalsRowBorderDxfId="8">
  <autoFilter ref="A1:H11" xr:uid="{58AC4561-6254-47C4-A576-E3C959F02B2F}"/>
  <tableColumns count="8">
    <tableColumn id="1" xr3:uid="{0E7F7E34-B604-4A59-8714-DBFFF9148A85}" name="Fecha" dataDxfId="7"/>
    <tableColumn id="2" xr3:uid="{8BDD42A1-F532-43CF-860A-1C394972F990}" name="Producto" dataDxfId="6"/>
    <tableColumn id="3" xr3:uid="{47527178-8120-4A94-9194-DB7AB0541C8A}" name="Precio Unitario" dataDxfId="5"/>
    <tableColumn id="4" xr3:uid="{CCF00589-C288-46DB-9CAB-9B4469808A28}" name="Cantidad vendida" dataDxfId="4"/>
    <tableColumn id="5" xr3:uid="{FBE7596B-07DE-4913-AEB0-11959C3040E9}" name="Total Ventas" dataDxfId="3">
      <calculatedColumnFormula>C2*D2</calculatedColumnFormula>
    </tableColumn>
    <tableColumn id="6" xr3:uid="{550C87CD-BD1C-4630-9813-BE7113D4EE78}" name="Total descuento" dataDxfId="2">
      <calculatedColumnFormula>C2*$M$9</calculatedColumnFormula>
    </tableColumn>
    <tableColumn id="7" xr3:uid="{01DCECEE-1030-4526-B6A2-A85E4468EFBD}" name="Ventas netas " dataDxfId="1">
      <calculatedColumnFormula>(C2*D2)-(F2*D2)</calculatedColumnFormula>
    </tableColumn>
    <tableColumn id="8" xr3:uid="{A1645F49-D39D-4AE2-9353-D5DABB7A1ACC}" name="Estado de venta " dataDxfId="0">
      <calculatedColumnFormula>IF(AND(G2&gt;1000,D2&gt;15),"Completa","")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A12" sqref="A12:B14"/>
    </sheetView>
  </sheetViews>
  <sheetFormatPr defaultRowHeight="15"/>
  <cols>
    <col min="1" max="1" width="12.140625" bestFit="1" customWidth="1"/>
    <col min="2" max="2" width="29.140625" customWidth="1"/>
    <col min="3" max="3" width="20.28515625" customWidth="1"/>
    <col min="4" max="4" width="21.85546875" customWidth="1"/>
    <col min="5" max="5" width="18.42578125" customWidth="1"/>
    <col min="6" max="6" width="17.7109375" customWidth="1"/>
    <col min="7" max="7" width="17.42578125" customWidth="1"/>
    <col min="8" max="8" width="21.85546875" customWidth="1"/>
  </cols>
  <sheetData>
    <row r="1" spans="1:13">
      <c r="A1" s="6" t="s">
        <v>0</v>
      </c>
      <c r="B1" s="7" t="s">
        <v>1</v>
      </c>
      <c r="C1" s="7" t="s">
        <v>2</v>
      </c>
      <c r="D1" s="8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13">
      <c r="A2" s="3">
        <v>46027</v>
      </c>
      <c r="B2" s="4" t="s">
        <v>8</v>
      </c>
      <c r="C2" s="5">
        <v>1250</v>
      </c>
      <c r="D2" s="9">
        <v>18</v>
      </c>
      <c r="E2" s="10">
        <f t="shared" ref="E2:E11" si="0">C2*D2</f>
        <v>22500</v>
      </c>
      <c r="F2" s="13">
        <f t="shared" ref="F2:F11" si="1">C2*$M$9</f>
        <v>87.500000000000014</v>
      </c>
      <c r="G2" s="13">
        <f t="shared" ref="G2:G11" si="2">(C2*D2)-(F2*D2)</f>
        <v>20925</v>
      </c>
      <c r="H2" s="10" t="str">
        <f t="shared" ref="H2:H11" si="3">IF(AND(G2&gt;1000,D2&gt;15),"Completa","")</f>
        <v>Completa</v>
      </c>
    </row>
    <row r="3" spans="1:13">
      <c r="A3" s="3">
        <v>46028</v>
      </c>
      <c r="B3" s="4" t="s">
        <v>9</v>
      </c>
      <c r="C3" s="5">
        <v>2100</v>
      </c>
      <c r="D3" s="9">
        <v>12</v>
      </c>
      <c r="E3" s="10">
        <f t="shared" si="0"/>
        <v>25200</v>
      </c>
      <c r="F3" s="13">
        <f t="shared" si="1"/>
        <v>147</v>
      </c>
      <c r="G3" s="13">
        <f t="shared" si="2"/>
        <v>23436</v>
      </c>
      <c r="H3" s="10" t="str">
        <f t="shared" si="3"/>
        <v/>
      </c>
    </row>
    <row r="4" spans="1:13">
      <c r="A4" s="3">
        <v>46028</v>
      </c>
      <c r="B4" s="4" t="s">
        <v>10</v>
      </c>
      <c r="C4" s="5">
        <v>1600</v>
      </c>
      <c r="D4" s="9">
        <v>9</v>
      </c>
      <c r="E4" s="10">
        <f t="shared" si="0"/>
        <v>14400</v>
      </c>
      <c r="F4" s="13">
        <f t="shared" si="1"/>
        <v>112.00000000000001</v>
      </c>
      <c r="G4" s="13">
        <f t="shared" si="2"/>
        <v>13392</v>
      </c>
      <c r="H4" s="10" t="str">
        <f t="shared" si="3"/>
        <v/>
      </c>
    </row>
    <row r="5" spans="1:13">
      <c r="A5" s="3">
        <v>46029</v>
      </c>
      <c r="B5" s="4" t="s">
        <v>11</v>
      </c>
      <c r="C5" s="5">
        <v>1300</v>
      </c>
      <c r="D5" s="9">
        <v>15</v>
      </c>
      <c r="E5" s="10">
        <f t="shared" si="0"/>
        <v>19500</v>
      </c>
      <c r="F5" s="13">
        <f t="shared" si="1"/>
        <v>91.000000000000014</v>
      </c>
      <c r="G5" s="13">
        <f t="shared" si="2"/>
        <v>18135</v>
      </c>
      <c r="H5" s="10" t="str">
        <f t="shared" si="3"/>
        <v/>
      </c>
    </row>
    <row r="6" spans="1:13">
      <c r="A6" s="3">
        <v>46030</v>
      </c>
      <c r="B6" s="4" t="s">
        <v>12</v>
      </c>
      <c r="C6" s="5">
        <v>4200</v>
      </c>
      <c r="D6" s="9">
        <v>6</v>
      </c>
      <c r="E6" s="10">
        <f t="shared" si="0"/>
        <v>25200</v>
      </c>
      <c r="F6" s="13">
        <f t="shared" si="1"/>
        <v>294</v>
      </c>
      <c r="G6" s="13">
        <f t="shared" si="2"/>
        <v>23436</v>
      </c>
      <c r="H6" s="10" t="str">
        <f t="shared" si="3"/>
        <v/>
      </c>
    </row>
    <row r="7" spans="1:13">
      <c r="A7" s="3">
        <v>46030</v>
      </c>
      <c r="B7" s="4" t="s">
        <v>13</v>
      </c>
      <c r="C7" s="5">
        <v>3800</v>
      </c>
      <c r="D7" s="9">
        <v>10</v>
      </c>
      <c r="E7" s="10">
        <f t="shared" si="0"/>
        <v>38000</v>
      </c>
      <c r="F7" s="13">
        <f t="shared" si="1"/>
        <v>266</v>
      </c>
      <c r="G7" s="13">
        <f t="shared" si="2"/>
        <v>35340</v>
      </c>
      <c r="H7" s="10" t="str">
        <f t="shared" si="3"/>
        <v/>
      </c>
    </row>
    <row r="8" spans="1:13">
      <c r="A8" s="3">
        <v>46031</v>
      </c>
      <c r="B8" s="4" t="s">
        <v>14</v>
      </c>
      <c r="C8" s="5">
        <v>1900</v>
      </c>
      <c r="D8" s="9">
        <v>14</v>
      </c>
      <c r="E8" s="10">
        <f t="shared" si="0"/>
        <v>26600</v>
      </c>
      <c r="F8" s="13">
        <f t="shared" si="1"/>
        <v>133</v>
      </c>
      <c r="G8" s="13">
        <f t="shared" si="2"/>
        <v>24738</v>
      </c>
      <c r="H8" s="10" t="str">
        <f t="shared" si="3"/>
        <v/>
      </c>
    </row>
    <row r="9" spans="1:13">
      <c r="A9" s="3">
        <v>46032</v>
      </c>
      <c r="B9" s="4" t="s">
        <v>15</v>
      </c>
      <c r="C9" s="5">
        <v>1750</v>
      </c>
      <c r="D9" s="9">
        <v>11</v>
      </c>
      <c r="E9" s="10">
        <f t="shared" si="0"/>
        <v>19250</v>
      </c>
      <c r="F9" s="13">
        <f t="shared" si="1"/>
        <v>122.50000000000001</v>
      </c>
      <c r="G9" s="13">
        <f t="shared" si="2"/>
        <v>17902.5</v>
      </c>
      <c r="H9" s="10" t="str">
        <f t="shared" si="3"/>
        <v/>
      </c>
      <c r="M9" s="12">
        <v>7.0000000000000007E-2</v>
      </c>
    </row>
    <row r="10" spans="1:13">
      <c r="A10" s="3">
        <v>46032</v>
      </c>
      <c r="B10" s="4" t="s">
        <v>16</v>
      </c>
      <c r="C10" s="5">
        <v>6500</v>
      </c>
      <c r="D10" s="9">
        <v>4</v>
      </c>
      <c r="E10" s="10">
        <f t="shared" si="0"/>
        <v>26000</v>
      </c>
      <c r="F10" s="13">
        <f t="shared" si="1"/>
        <v>455.00000000000006</v>
      </c>
      <c r="G10" s="13">
        <f t="shared" si="2"/>
        <v>24180</v>
      </c>
      <c r="H10" s="10" t="str">
        <f t="shared" si="3"/>
        <v/>
      </c>
    </row>
    <row r="11" spans="1:13">
      <c r="A11" s="14">
        <v>46033</v>
      </c>
      <c r="B11" s="15" t="s">
        <v>17</v>
      </c>
      <c r="C11" s="16">
        <v>1100</v>
      </c>
      <c r="D11" s="9">
        <v>20</v>
      </c>
      <c r="E11" s="10">
        <f t="shared" si="0"/>
        <v>22000</v>
      </c>
      <c r="F11" s="13">
        <f t="shared" si="1"/>
        <v>77.000000000000014</v>
      </c>
      <c r="G11" s="13">
        <f t="shared" si="2"/>
        <v>20460</v>
      </c>
      <c r="H11" s="10" t="str">
        <f t="shared" si="3"/>
        <v>Completa</v>
      </c>
    </row>
    <row r="12" spans="1:13">
      <c r="A12" s="17" t="s">
        <v>18</v>
      </c>
      <c r="B12" s="17"/>
      <c r="C12" s="1">
        <f>MAX(D2:D11)</f>
        <v>20</v>
      </c>
    </row>
    <row r="13" spans="1:13">
      <c r="A13" s="17" t="s">
        <v>19</v>
      </c>
      <c r="B13" s="17"/>
      <c r="C13" s="1">
        <f>AVERAGE(D2:D11)</f>
        <v>11.9</v>
      </c>
    </row>
    <row r="14" spans="1:13" ht="15.75" customHeight="1">
      <c r="A14" s="17" t="s">
        <v>20</v>
      </c>
      <c r="B14" s="17"/>
      <c r="C14" s="2">
        <f>SUMIF(A2:A11,A2,G2:G11)</f>
        <v>20925</v>
      </c>
    </row>
  </sheetData>
  <mergeCells count="3">
    <mergeCell ref="A12:B12"/>
    <mergeCell ref="A13:B13"/>
    <mergeCell ref="A14:B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2026-02-06T13:24:15Z</dcterms:created>
  <dcterms:modified xsi:type="dcterms:W3CDTF">2026-02-06T15:33:52Z</dcterms:modified>
  <cp:category/>
  <cp:contentStatus/>
</cp:coreProperties>
</file>