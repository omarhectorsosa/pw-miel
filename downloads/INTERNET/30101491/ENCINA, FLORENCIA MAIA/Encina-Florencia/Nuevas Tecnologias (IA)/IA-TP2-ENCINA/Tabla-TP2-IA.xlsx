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D9F1C2DB-3636-473A-AADC-788A340825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3" i="1"/>
  <c r="F4" i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<sst xmlns="http://schemas.openxmlformats.org/spreadsheetml/2006/main" count="22" uniqueCount="22">
  <si>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</si>
  <si>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</si>
  <si>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 (USD)</t>
  </si>
  <si>
    <t>Cantidad Vendida</t>
  </si>
  <si>
    <t>Total Ventas</t>
  </si>
  <si>
    <t>Total Descuento</t>
  </si>
  <si>
    <t>Ventas Netas</t>
  </si>
  <si>
    <t>Estado de Venta</t>
  </si>
  <si>
    <t>Apple iPhone 15 (128GB)</t>
  </si>
  <si>
    <t>Auriculares Sony WH-1000XM5</t>
  </si>
  <si>
    <t>Monitor Gaming Samsung Odyssey G5</t>
  </si>
  <si>
    <t>Café en grano Starbucks Pike Place (1kg)</t>
  </si>
  <si>
    <t>Zapatillas Nike Air Max 270</t>
  </si>
  <si>
    <t>Suscripción Anual Adobe Creative Cloud</t>
  </si>
  <si>
    <t>Consola PlayStation 5 (Slim)</t>
  </si>
  <si>
    <t>Kindle Paperwhite (16 GB)</t>
  </si>
  <si>
    <t>LEGO Star Wars Millennium Falcon</t>
  </si>
  <si>
    <t>Termo Stanley Classic (1.4L)</t>
  </si>
  <si>
    <t>por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</si>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</sst>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[$$-409]#,##0"/>
    <numFmt numFmtId="166" formatCode="[$$-2C0A]\ #,##0"/>
  </numFmts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164" fontId="0" fillId="0" borderId="2" xfId="0" applyNumberFormat="1" applyBorder="1"/>
    <xf numFmtId="165" fontId="2" fillId="0" borderId="1" xfId="0" applyNumberFormat="1" applyFont="1" applyBorder="1"/>
    <xf numFmtId="1" fontId="2" fillId="0" borderId="3" xfId="0" applyNumberFormat="1" applyFont="1" applyBorder="1"/>
    <xf numFmtId="165" fontId="0" fillId="0" borderId="2" xfId="0" applyNumberFormat="1" applyBorder="1"/>
    <xf numFmtId="9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5"/>
  <sheetViews>
    <sheetView tabSelected="1" topLeftCell="A3" workbookViewId="0">
      <selection activeCell="B15" sqref="B15"/>
    </sheetView>
  </sheetViews>
  <sheetFormatPr defaultRowHeight="15"/>
  <cols>
    <col min="1" max="1" width="20.42578125" bestFit="1" customWidth="1"/>
    <col min="2" max="2" width="36.5703125" bestFit="1" customWidth="1"/>
    <col min="3" max="3" width="22.42578125" bestFit="1" customWidth="1"/>
    <col min="4" max="4" width="18.7109375" bestFit="1" customWidth="1"/>
    <col min="5" max="5" width="11.7109375" bestFit="1" customWidth="1"/>
    <col min="6" max="6" width="15" bestFit="1" customWidth="1"/>
    <col min="7" max="7" width="12.42578125" bestFit="1" customWidth="1"/>
    <col min="8" max="8" width="17.42578125" customWidth="1"/>
  </cols>
  <sheetData>
    <row r="2" spans="1:13" ht="30.75">
      <c r="A2" s="5" t="s">
        <v>0</v>
      </c>
      <c r="B2" s="6" t="s">
        <v>1</v>
      </c>
      <c r="C2" s="5" t="s">
        <v>2</v>
      </c>
      <c r="D2" s="7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3" ht="16.5">
      <c r="A3" s="1">
        <v>45293</v>
      </c>
      <c r="B3" s="2" t="s">
        <v>8</v>
      </c>
      <c r="C3" s="9">
        <v>799</v>
      </c>
      <c r="D3" s="10">
        <v>12</v>
      </c>
      <c r="E3" s="8">
        <f>C3*D3</f>
        <v>9588</v>
      </c>
      <c r="F3" s="11">
        <f>(C3*D3)*$M$9</f>
        <v>671.16000000000008</v>
      </c>
      <c r="G3" s="11">
        <f>(C3*D3)-(C3*D3*0.07)</f>
        <v>8916.84</v>
      </c>
      <c r="H3" s="3" t="str">
        <f>IF(AND(G3&gt;1000,D3&gt;15),"Objetivo Logrado","No Alcanzado")</f>
        <v>No Alcanzado</v>
      </c>
    </row>
    <row r="4" spans="1:13" ht="16.5">
      <c r="A4" s="1">
        <v>45306</v>
      </c>
      <c r="B4" s="2" t="s">
        <v>9</v>
      </c>
      <c r="C4" s="9">
        <v>348</v>
      </c>
      <c r="D4" s="10">
        <v>25</v>
      </c>
      <c r="E4" s="8">
        <f t="shared" ref="E4:E12" si="0">C4*D4</f>
        <v>8700</v>
      </c>
      <c r="F4" s="11">
        <f t="shared" ref="F4:F12" si="1">(C4*D4)*$M$9</f>
        <v>609.00000000000011</v>
      </c>
      <c r="G4" s="11">
        <f t="shared" ref="G4:G12" si="2">(C4*D4)-(C4*D4*0.07)</f>
        <v>8091</v>
      </c>
      <c r="H4" s="3" t="str">
        <f t="shared" ref="H4:H12" si="3">IF(AND(G4&gt;1000,D4&gt;15),"Objetivo Logrado","No Alcanzado")</f>
        <v>Objetivo Logrado</v>
      </c>
    </row>
    <row r="5" spans="1:13" ht="33.75">
      <c r="A5" s="1">
        <v>45319</v>
      </c>
      <c r="B5" s="2" t="s">
        <v>10</v>
      </c>
      <c r="C5" s="9">
        <v>299.99</v>
      </c>
      <c r="D5" s="10">
        <v>8</v>
      </c>
      <c r="E5" s="8">
        <f t="shared" si="0"/>
        <v>2399.92</v>
      </c>
      <c r="F5" s="11">
        <f t="shared" si="1"/>
        <v>167.99440000000001</v>
      </c>
      <c r="G5" s="11">
        <f t="shared" si="2"/>
        <v>2231.9256</v>
      </c>
      <c r="H5" s="3" t="str">
        <f t="shared" si="3"/>
        <v>No Alcanzado</v>
      </c>
    </row>
    <row r="6" spans="1:13" ht="33.75">
      <c r="A6" s="1">
        <v>45327</v>
      </c>
      <c r="B6" s="2" t="s">
        <v>11</v>
      </c>
      <c r="C6" s="9">
        <v>28.5</v>
      </c>
      <c r="D6" s="10">
        <v>150</v>
      </c>
      <c r="E6" s="8">
        <f t="shared" si="0"/>
        <v>4275</v>
      </c>
      <c r="F6" s="11">
        <f t="shared" si="1"/>
        <v>299.25000000000006</v>
      </c>
      <c r="G6" s="11">
        <f t="shared" si="2"/>
        <v>3975.75</v>
      </c>
      <c r="H6" s="3" t="str">
        <f t="shared" si="3"/>
        <v>Objetivo Logrado</v>
      </c>
    </row>
    <row r="7" spans="1:13" ht="16.5">
      <c r="A7" s="1">
        <v>45334</v>
      </c>
      <c r="B7" s="2" t="s">
        <v>12</v>
      </c>
      <c r="C7" s="9">
        <v>160</v>
      </c>
      <c r="D7" s="10">
        <v>42</v>
      </c>
      <c r="E7" s="8">
        <f t="shared" si="0"/>
        <v>6720</v>
      </c>
      <c r="F7" s="11">
        <f t="shared" si="1"/>
        <v>470.40000000000003</v>
      </c>
      <c r="G7" s="11">
        <f t="shared" si="2"/>
        <v>6249.6</v>
      </c>
      <c r="H7" s="3" t="str">
        <f t="shared" si="3"/>
        <v>Objetivo Logrado</v>
      </c>
    </row>
    <row r="8" spans="1:13" ht="33.75">
      <c r="A8" s="1">
        <v>45342</v>
      </c>
      <c r="B8" s="2" t="s">
        <v>13</v>
      </c>
      <c r="C8" s="9">
        <v>599.88</v>
      </c>
      <c r="D8" s="10">
        <v>5</v>
      </c>
      <c r="E8" s="8">
        <f t="shared" si="0"/>
        <v>2999.4</v>
      </c>
      <c r="F8" s="11">
        <f t="shared" si="1"/>
        <v>209.95800000000003</v>
      </c>
      <c r="G8" s="11">
        <f t="shared" si="2"/>
        <v>2789.442</v>
      </c>
      <c r="H8" s="3" t="str">
        <f t="shared" si="3"/>
        <v>No Alcanzado</v>
      </c>
    </row>
    <row r="9" spans="1:13" ht="16.5">
      <c r="A9" s="1">
        <v>45354</v>
      </c>
      <c r="B9" s="2" t="s">
        <v>14</v>
      </c>
      <c r="C9" s="9">
        <v>499.99</v>
      </c>
      <c r="D9" s="10">
        <v>18</v>
      </c>
      <c r="E9" s="8">
        <f t="shared" si="0"/>
        <v>8999.82</v>
      </c>
      <c r="F9" s="11">
        <f t="shared" si="1"/>
        <v>629.98740000000009</v>
      </c>
      <c r="G9" s="11">
        <f t="shared" si="2"/>
        <v>8369.8325999999997</v>
      </c>
      <c r="H9" s="3" t="str">
        <f t="shared" si="3"/>
        <v>Objetivo Logrado</v>
      </c>
      <c r="M9" s="12">
        <v>7.0000000000000007E-2</v>
      </c>
    </row>
    <row r="10" spans="1:13" ht="16.5">
      <c r="A10" s="1">
        <v>45361</v>
      </c>
      <c r="B10" s="2" t="s">
        <v>15</v>
      </c>
      <c r="C10" s="9">
        <v>149.99</v>
      </c>
      <c r="D10" s="10">
        <v>30</v>
      </c>
      <c r="E10" s="8">
        <f t="shared" si="0"/>
        <v>4499.7000000000007</v>
      </c>
      <c r="F10" s="11">
        <f t="shared" si="1"/>
        <v>314.9790000000001</v>
      </c>
      <c r="G10" s="11">
        <f t="shared" si="2"/>
        <v>4184.7210000000005</v>
      </c>
      <c r="H10" s="3" t="str">
        <f t="shared" si="3"/>
        <v>Objetivo Logrado</v>
      </c>
    </row>
    <row r="11" spans="1:13" ht="16.5">
      <c r="A11" s="1">
        <v>45369</v>
      </c>
      <c r="B11" s="2" t="s">
        <v>16</v>
      </c>
      <c r="C11" s="9">
        <v>169.99</v>
      </c>
      <c r="D11" s="10">
        <v>14</v>
      </c>
      <c r="E11" s="8">
        <f t="shared" si="0"/>
        <v>2379.86</v>
      </c>
      <c r="F11" s="11">
        <f t="shared" si="1"/>
        <v>166.59020000000004</v>
      </c>
      <c r="G11" s="11">
        <f t="shared" si="2"/>
        <v>2213.2698</v>
      </c>
      <c r="H11" s="3" t="str">
        <f t="shared" si="3"/>
        <v>No Alcanzado</v>
      </c>
    </row>
    <row r="12" spans="1:13" ht="16.5">
      <c r="A12" s="1">
        <v>45376</v>
      </c>
      <c r="B12" s="2" t="s">
        <v>17</v>
      </c>
      <c r="C12" s="9">
        <v>45</v>
      </c>
      <c r="D12" s="10">
        <v>60</v>
      </c>
      <c r="E12" s="8" t="s">
        <v>18</v>
      </c>
      <c r="F12" s="11">
        <f t="shared" si="1"/>
        <v>189.00000000000003</v>
      </c>
      <c r="G12" s="11">
        <f t="shared" si="2"/>
        <v>2511</v>
      </c>
      <c r="H12" s="3" t="str">
        <f t="shared" si="3"/>
        <v>Objetivo Logrado</v>
      </c>
    </row>
    <row r="13" spans="1:13">
      <c r="A13" s="13" t="s">
        <v>19</v>
      </c>
      <c r="B13" t="str">
        <f>_xlfn.XLOOKUP(MAX(D3:D12),D3:D12, B3:B12)</f>
        <v>Café en grano Starbucks Pike Place (1kg)</v>
      </c>
    </row>
    <row r="14" spans="1:13">
      <c r="A14" s="13" t="s">
        <v>20</v>
      </c>
      <c r="B14" s="14">
        <f>AVERAGE(G3:G12)</f>
        <v>4953.338099999999</v>
      </c>
    </row>
    <row r="15" spans="1:13">
      <c r="A15" s="13" t="s">
        <v>21</v>
      </c>
      <c r="B15" s="14">
        <f ca="1">SUMIF(A3:A12,A3,G3:G11)</f>
        <v>8916.84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2026-02-07T15:12:45Z</dcterms:created>
  <dcterms:modified xsi:type="dcterms:W3CDTF">2026-02-07T17:46:09Z</dcterms:modified>
  <cp:category/>
  <cp:contentStatus/>
</cp:coreProperties>
</file>