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03"/>
  <workbookPr defaultThemeVersion="166925"/>
  <xr:revisionPtr revIDLastSave="0" documentId="8_{827563AE-C784-4695-BEA2-0D11D79FC33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1" l="1"/>
  <c r="B13" i="1"/>
  <c r="B12" i="1"/>
  <c r="H2" i="1"/>
  <c r="H4" i="1"/>
  <c r="H5" i="1"/>
  <c r="H6" i="1"/>
  <c r="H8" i="1"/>
  <c r="H11" i="1"/>
  <c r="G4" i="1"/>
  <c r="G5" i="1"/>
  <c r="G6" i="1"/>
  <c r="G8" i="1"/>
  <c r="G11" i="1"/>
  <c r="G2" i="1"/>
  <c r="F4" i="1"/>
  <c r="F5" i="1"/>
  <c r="F6" i="1"/>
  <c r="F8" i="1"/>
  <c r="F11" i="1"/>
  <c r="F2" i="1"/>
  <c r="E3" i="1"/>
  <c r="E4" i="1"/>
  <c r="E5" i="1"/>
  <c r="E6" i="1"/>
  <c r="E7" i="1"/>
  <c r="E8" i="1"/>
  <c r="E9" i="1"/>
  <c r="E10" i="1"/>
  <c r="E11" i="1"/>
  <c r="E2" i="1"/>
  <c r="F9" i="1" l="1"/>
  <c r="G9" i="1" s="1"/>
  <c r="H9" i="1" s="1"/>
  <c r="F10" i="1"/>
  <c r="G10" i="1" s="1"/>
  <c r="H10" i="1" s="1"/>
  <c r="F7" i="1"/>
  <c r="G7" i="1" s="1"/>
  <c r="H7" i="1" s="1"/>
  <c r="F3" i="1"/>
  <c r="G3" i="1" s="1"/>
  <c r="H3" i="1" s="1"/>
</calcChain>
</file>

<file path=xl/sharedStrings.xml><?xml version="1.0" encoding="utf-8"?>
<sst xmlns="http://schemas.openxmlformats.org/spreadsheetml/2006/main" count="21" uniqueCount="21">
  <si>
    <t xml:space="preserve">Fecha </t>
  </si>
  <si>
    <t>Producto</t>
  </si>
  <si>
    <t xml:space="preserve">Precio Unitario </t>
  </si>
  <si>
    <t>Cantidad vendida</t>
  </si>
  <si>
    <t>Total ventas</t>
  </si>
  <si>
    <t>total descuento</t>
  </si>
  <si>
    <t>ventas netas</t>
  </si>
  <si>
    <t>Estado de venta</t>
  </si>
  <si>
    <t>Notebook</t>
  </si>
  <si>
    <t>Mouse inalámbrico</t>
  </si>
  <si>
    <t>Teclado mecánico</t>
  </si>
  <si>
    <t>Monitor 24''</t>
  </si>
  <si>
    <t>Auriculares</t>
  </si>
  <si>
    <t>Impresora</t>
  </si>
  <si>
    <t>Pendrive 64GB</t>
  </si>
  <si>
    <t>Disco SSD 1TB</t>
  </si>
  <si>
    <t>Webcam HD</t>
  </si>
  <si>
    <t>Parlantes</t>
  </si>
  <si>
    <t>Producto mas vendido</t>
  </si>
  <si>
    <t>Promedio de ventas</t>
  </si>
  <si>
    <t>Ventas por 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</si>
</sst>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theme="1"/>
      <name val="Calibri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 readingOrder="1"/>
    </xf>
    <xf numFmtId="0" fontId="1" fillId="0" borderId="1" xfId="0" applyFont="1" applyBorder="1" applyAlignment="1">
      <alignment horizontal="center" vertical="center" readingOrder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"/>
  <sheetViews>
    <sheetView tabSelected="1" workbookViewId="0">
      <selection activeCell="D15" sqref="D15"/>
    </sheetView>
  </sheetViews>
  <sheetFormatPr defaultRowHeight="15"/>
  <cols>
    <col min="1" max="1" width="21.7109375" customWidth="1"/>
    <col min="2" max="2" width="19.5703125" customWidth="1"/>
    <col min="3" max="3" width="17.7109375" customWidth="1"/>
    <col min="4" max="4" width="18.42578125" customWidth="1"/>
    <col min="5" max="5" width="15.42578125" customWidth="1"/>
    <col min="6" max="6" width="17.85546875" customWidth="1"/>
    <col min="7" max="7" width="15.42578125" customWidth="1"/>
    <col min="8" max="8" width="46.4257812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3">
      <c r="A2" s="2">
        <v>46054</v>
      </c>
      <c r="B2" s="3" t="s">
        <v>8</v>
      </c>
      <c r="C2" s="3">
        <v>850000</v>
      </c>
      <c r="D2" s="3">
        <v>3</v>
      </c>
      <c r="E2" s="1">
        <f>C2*D2</f>
        <v>2550000</v>
      </c>
      <c r="F2" s="1">
        <f>E2*$M$9%</f>
        <v>178500.00000000003</v>
      </c>
      <c r="G2" s="1">
        <f>E2-F2</f>
        <v>2371500</v>
      </c>
      <c r="H2" s="1" t="str">
        <f>IF(AND(G2&gt;1000,D2&gt;15),"COMPLETA","")</f>
        <v/>
      </c>
    </row>
    <row r="3" spans="1:13">
      <c r="A3" s="2">
        <v>46054</v>
      </c>
      <c r="B3" s="3" t="s">
        <v>9</v>
      </c>
      <c r="C3" s="3">
        <v>12000</v>
      </c>
      <c r="D3" s="3">
        <v>16</v>
      </c>
      <c r="E3" s="1">
        <f t="shared" ref="E3:E11" si="0">C3*D3</f>
        <v>192000</v>
      </c>
      <c r="F3" s="1">
        <f t="shared" ref="F3:F11" si="1">E3*$M$9%</f>
        <v>13440.000000000002</v>
      </c>
      <c r="G3" s="1">
        <f t="shared" ref="G3:G11" si="2">E3-F3</f>
        <v>178560</v>
      </c>
      <c r="H3" s="1" t="str">
        <f t="shared" ref="H3:H11" si="3">IF(AND(G3&gt;1000,D3&gt;15),"COMPLETA","")</f>
        <v>COMPLETA</v>
      </c>
    </row>
    <row r="4" spans="1:13">
      <c r="A4" s="2">
        <v>46055</v>
      </c>
      <c r="B4" s="3" t="s">
        <v>10</v>
      </c>
      <c r="C4" s="3">
        <v>45000</v>
      </c>
      <c r="D4" s="3">
        <v>5</v>
      </c>
      <c r="E4" s="1">
        <f t="shared" si="0"/>
        <v>225000</v>
      </c>
      <c r="F4" s="1">
        <f t="shared" si="1"/>
        <v>15750.000000000002</v>
      </c>
      <c r="G4" s="1">
        <f t="shared" si="2"/>
        <v>209250</v>
      </c>
      <c r="H4" s="1" t="str">
        <f t="shared" si="3"/>
        <v/>
      </c>
    </row>
    <row r="5" spans="1:13">
      <c r="A5" s="2">
        <v>46055</v>
      </c>
      <c r="B5" s="3" t="s">
        <v>11</v>
      </c>
      <c r="C5" s="3">
        <v>230000</v>
      </c>
      <c r="D5" s="3">
        <v>2</v>
      </c>
      <c r="E5" s="1">
        <f t="shared" si="0"/>
        <v>460000</v>
      </c>
      <c r="F5" s="1">
        <f t="shared" si="1"/>
        <v>32200.000000000004</v>
      </c>
      <c r="G5" s="1">
        <f t="shared" si="2"/>
        <v>427800</v>
      </c>
      <c r="H5" s="1" t="str">
        <f t="shared" si="3"/>
        <v/>
      </c>
    </row>
    <row r="6" spans="1:13">
      <c r="A6" s="2">
        <v>46056</v>
      </c>
      <c r="B6" s="3" t="s">
        <v>12</v>
      </c>
      <c r="C6" s="3">
        <v>38000</v>
      </c>
      <c r="D6" s="3">
        <v>6</v>
      </c>
      <c r="E6" s="1">
        <f t="shared" si="0"/>
        <v>228000</v>
      </c>
      <c r="F6" s="1">
        <f t="shared" si="1"/>
        <v>15960.000000000002</v>
      </c>
      <c r="G6" s="1">
        <f t="shared" si="2"/>
        <v>212040</v>
      </c>
      <c r="H6" s="1" t="str">
        <f t="shared" si="3"/>
        <v/>
      </c>
    </row>
    <row r="7" spans="1:13">
      <c r="A7" s="2">
        <v>46056</v>
      </c>
      <c r="B7" s="3" t="s">
        <v>13</v>
      </c>
      <c r="C7" s="3">
        <v>190000</v>
      </c>
      <c r="D7" s="3">
        <v>22</v>
      </c>
      <c r="E7" s="1">
        <f t="shared" si="0"/>
        <v>4180000</v>
      </c>
      <c r="F7" s="1">
        <f t="shared" si="1"/>
        <v>292600</v>
      </c>
      <c r="G7" s="1">
        <f t="shared" si="2"/>
        <v>3887400</v>
      </c>
      <c r="H7" s="1" t="str">
        <f t="shared" si="3"/>
        <v>COMPLETA</v>
      </c>
    </row>
    <row r="8" spans="1:13">
      <c r="A8" s="2">
        <v>46057</v>
      </c>
      <c r="B8" s="3" t="s">
        <v>14</v>
      </c>
      <c r="C8" s="3">
        <v>9500</v>
      </c>
      <c r="D8" s="3">
        <v>12</v>
      </c>
      <c r="E8" s="1">
        <f t="shared" si="0"/>
        <v>114000</v>
      </c>
      <c r="F8" s="1">
        <f t="shared" si="1"/>
        <v>7980.0000000000009</v>
      </c>
      <c r="G8" s="1">
        <f t="shared" si="2"/>
        <v>106020</v>
      </c>
      <c r="H8" s="1" t="str">
        <f t="shared" si="3"/>
        <v/>
      </c>
    </row>
    <row r="9" spans="1:13">
      <c r="A9" s="2">
        <v>46057</v>
      </c>
      <c r="B9" s="3" t="s">
        <v>15</v>
      </c>
      <c r="C9" s="3">
        <v>160000</v>
      </c>
      <c r="D9" s="3">
        <v>4</v>
      </c>
      <c r="E9" s="1">
        <f t="shared" si="0"/>
        <v>640000</v>
      </c>
      <c r="F9" s="1">
        <f t="shared" si="1"/>
        <v>44800.000000000007</v>
      </c>
      <c r="G9" s="1">
        <f t="shared" si="2"/>
        <v>595200</v>
      </c>
      <c r="H9" s="1" t="str">
        <f t="shared" si="3"/>
        <v/>
      </c>
      <c r="M9">
        <v>7</v>
      </c>
    </row>
    <row r="10" spans="1:13">
      <c r="A10" s="2">
        <v>46058</v>
      </c>
      <c r="B10" s="3" t="s">
        <v>16</v>
      </c>
      <c r="C10" s="3">
        <v>42000</v>
      </c>
      <c r="D10" s="3">
        <v>45</v>
      </c>
      <c r="E10" s="1">
        <f t="shared" si="0"/>
        <v>1890000</v>
      </c>
      <c r="F10" s="1">
        <f t="shared" si="1"/>
        <v>132300</v>
      </c>
      <c r="G10" s="1">
        <f t="shared" si="2"/>
        <v>1757700</v>
      </c>
      <c r="H10" s="1" t="str">
        <f t="shared" si="3"/>
        <v>COMPLETA</v>
      </c>
    </row>
    <row r="11" spans="1:13">
      <c r="A11" s="2">
        <v>46058</v>
      </c>
      <c r="B11" s="3" t="s">
        <v>17</v>
      </c>
      <c r="C11" s="3">
        <v>52000</v>
      </c>
      <c r="D11" s="3">
        <v>2</v>
      </c>
      <c r="E11" s="1">
        <f t="shared" si="0"/>
        <v>104000</v>
      </c>
      <c r="F11" s="1">
        <f t="shared" si="1"/>
        <v>7280.0000000000009</v>
      </c>
      <c r="G11" s="1">
        <f t="shared" si="2"/>
        <v>96720</v>
      </c>
      <c r="H11" s="1" t="str">
        <f t="shared" si="3"/>
        <v/>
      </c>
    </row>
    <row r="12" spans="1:13">
      <c r="A12" t="s">
        <v>18</v>
      </c>
      <c r="B12">
        <f>MAX(D2:D11)</f>
        <v>45</v>
      </c>
    </row>
    <row r="13" spans="1:13">
      <c r="A13" t="s">
        <v>19</v>
      </c>
      <c r="B13">
        <f>AVERAGE(E2:E11)</f>
        <v>1058300</v>
      </c>
    </row>
    <row r="14" spans="1:13">
      <c r="A14" t="s">
        <v>20</v>
      </c>
      <c r="B14">
        <f>SUMIF(A:A,A2,G:G)</f>
        <v>2550060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2026-02-07T19:56:53Z</dcterms:created>
  <dcterms:modified xsi:type="dcterms:W3CDTF">2026-02-07T22:26:31Z</dcterms:modified>
  <cp:category/>
  <cp:contentStatus/>
</cp:coreProperties>
</file>